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:\笔记\记录人生\01游戏攻略\异度之刃\"/>
    </mc:Choice>
  </mc:AlternateContent>
  <xr:revisionPtr revIDLastSave="0" documentId="13_ncr:1_{5E297736-435F-4BFD-A0A2-4703D4CF40ED}" xr6:coauthVersionLast="47" xr6:coauthVersionMax="47" xr10:uidLastSave="{00000000-0000-0000-0000-000000000000}"/>
  <bookViews>
    <workbookView xWindow="-110" yWindow="-110" windowWidth="25820" windowHeight="16220" activeTab="4" xr2:uid="{00000000-000D-0000-FFFF-FFFF00000000}"/>
  </bookViews>
  <sheets>
    <sheet name="コロニー9-任務" sheetId="1" r:id="rId1"/>
    <sheet name="テフラ洞窟-任務" sheetId="8" r:id="rId2"/>
    <sheet name="巨神脚-任務" sheetId="5" r:id="rId3"/>
    <sheet name="コロニー6-任務" sheetId="6" r:id="rId4"/>
    <sheet name="燐光の地ザトール-任務" sheetId="7" r:id="rId5"/>
    <sheet name="コロニー9-キズナ" sheetId="4" r:id="rId6"/>
  </sheets>
  <calcPr calcId="191029"/>
</workbook>
</file>

<file path=xl/calcChain.xml><?xml version="1.0" encoding="utf-8"?>
<calcChain xmlns="http://schemas.openxmlformats.org/spreadsheetml/2006/main">
  <c r="B3" i="8" l="1"/>
  <c r="B2" i="8"/>
  <c r="B4" i="8" s="1"/>
  <c r="B3" i="7"/>
  <c r="B2" i="7"/>
  <c r="B4" i="7" s="1"/>
  <c r="B3" i="6"/>
  <c r="B2" i="6"/>
  <c r="B4" i="6" s="1"/>
  <c r="B3" i="5"/>
  <c r="B2" i="5"/>
  <c r="B4" i="5" s="1"/>
  <c r="B3" i="1"/>
  <c r="B2" i="1"/>
  <c r="B4" i="1" s="1"/>
</calcChain>
</file>

<file path=xl/sharedStrings.xml><?xml version="1.0" encoding="utf-8"?>
<sst xmlns="http://schemas.openxmlformats.org/spreadsheetml/2006/main" count="565" uniqueCount="270">
  <si>
    <t>任务名称</t>
  </si>
  <si>
    <t>完成情况</t>
  </si>
  <si>
    <t>编号</t>
  </si>
  <si>
    <t>息子の形見</t>
  </si>
  <si>
    <t>元気の秘訣</t>
  </si>
  <si>
    <t>人気カレー屋のピンチ</t>
  </si>
  <si>
    <t>孫へのクッキー</t>
  </si>
  <si>
    <t>親バカの靴</t>
  </si>
  <si>
    <t>教育熱心なスザンナ</t>
  </si>
  <si>
    <t>教育過剰なスザンナ</t>
  </si>
  <si>
    <t>舞い散った花</t>
  </si>
  <si>
    <t>孤独なニルニー</t>
  </si>
  <si>
    <t>機械オンチの腕時計</t>
  </si>
  <si>
    <t>老兵ヤーンの試練</t>
  </si>
  <si>
    <r>
      <t>恋愛成就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女性編</t>
    </r>
  </si>
  <si>
    <r>
      <t>恋愛成就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男性編</t>
    </r>
  </si>
  <si>
    <t>貧乏評論家の悩み</t>
  </si>
  <si>
    <t>高利貸しの企み</t>
  </si>
  <si>
    <t>働きすぎコバム</t>
  </si>
  <si>
    <t>グッドパオラ</t>
  </si>
  <si>
    <t>スランプコパム</t>
  </si>
  <si>
    <t>パネラとネリネ</t>
  </si>
  <si>
    <r>
      <t>野望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準備編</t>
    </r>
  </si>
  <si>
    <r>
      <t>野望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前夜篇</t>
    </r>
  </si>
  <si>
    <r>
      <t>野望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実行篇</t>
    </r>
  </si>
  <si>
    <t>小娘隊長の依頼</t>
  </si>
  <si>
    <t>小娘隊長の苦難</t>
  </si>
  <si>
    <t>小娘隊長の栄進</t>
  </si>
  <si>
    <t>小娘隊長の挑戦</t>
  </si>
  <si>
    <t>小娘隊長の信頼</t>
  </si>
  <si>
    <t>小娘隊長の復活</t>
  </si>
  <si>
    <t>勇気とプライド</t>
  </si>
  <si>
    <t>友情の三種の神器</t>
  </si>
  <si>
    <r>
      <t>兄弟ゲンカ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アニキ編</t>
    </r>
  </si>
  <si>
    <r>
      <t>兄弟ゲンカ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オトウト編</t>
    </r>
  </si>
  <si>
    <t>帰るべき場所</t>
  </si>
  <si>
    <t>祖母の雪解け</t>
  </si>
  <si>
    <t>ロコの切実な願い</t>
  </si>
  <si>
    <t>ディーンの邪な願い</t>
  </si>
  <si>
    <t>リルカの真剣な願い</t>
  </si>
  <si>
    <t>ジャクソンの覚醒</t>
  </si>
  <si>
    <t>料理人ジャクソン</t>
  </si>
  <si>
    <t>詩人ジャクソン</t>
  </si>
  <si>
    <t>デジレーンの将来</t>
  </si>
  <si>
    <t>ベッティの贈り物</t>
  </si>
  <si>
    <t>デジレーンの謝罪</t>
  </si>
  <si>
    <t>エリート小隊長の苦難</t>
  </si>
  <si>
    <t>メイニーを知る</t>
  </si>
  <si>
    <t>ドロテアを知る</t>
  </si>
  <si>
    <t>謎の光の真相</t>
  </si>
  <si>
    <t>謎の光の行方</t>
  </si>
  <si>
    <t>討伐クエスト1その1</t>
  </si>
  <si>
    <t>討伐クエスト1その2</t>
  </si>
  <si>
    <t>討伐クエスト1その3</t>
  </si>
  <si>
    <t>討伐クエスト2その1</t>
  </si>
  <si>
    <t>討伐クエスト2その2</t>
  </si>
  <si>
    <t>討伐クエスト2その3</t>
  </si>
  <si>
    <t>討伐クエスト3その1</t>
  </si>
  <si>
    <t>討伐クエスト3その2</t>
  </si>
  <si>
    <t>討伐クエスト3その3</t>
  </si>
  <si>
    <t>討伐クエスト3その4</t>
  </si>
  <si>
    <t>討伐クエスト4その1</t>
  </si>
  <si>
    <t>討伐クエスト4その2</t>
  </si>
  <si>
    <t>討伐クエスト4その3</t>
  </si>
  <si>
    <t>強敵を求めて1</t>
  </si>
  <si>
    <t>強敵を求めて2</t>
  </si>
  <si>
    <t>強敵を求めて3</t>
  </si>
  <si>
    <t>強敵を求めて4</t>
  </si>
  <si>
    <t>素材クエスト1</t>
  </si>
  <si>
    <t>素材クエスト2</t>
  </si>
  <si>
    <t>素材クエスト3</t>
  </si>
  <si>
    <t>素材クエスト4</t>
  </si>
  <si>
    <t>収集クエスト1</t>
  </si>
  <si>
    <t>収集クエスト2</t>
  </si>
  <si>
    <t>収集クエスト3</t>
  </si>
  <si>
    <t>収集クエスト4</t>
  </si>
  <si>
    <t>おさがしクエスト1</t>
  </si>
  <si>
    <t>おさがしクエスト2</t>
  </si>
  <si>
    <t>おさがしクエスト3</t>
  </si>
  <si>
    <t>おさがしクエスト4</t>
  </si>
  <si>
    <t>友人思い</t>
  </si>
  <si>
    <t>ジェム爺の発明</t>
  </si>
  <si>
    <t>お弁当箱を届ける</t>
  </si>
  <si>
    <t>〇</t>
  </si>
  <si>
    <t>✕</t>
  </si>
  <si>
    <t>完成情况</t>
    <phoneticPr fontId="3" type="noConversion"/>
  </si>
  <si>
    <t>已完成</t>
    <phoneticPr fontId="3" type="noConversion"/>
  </si>
  <si>
    <t>未完成</t>
    <phoneticPr fontId="3" type="noConversion"/>
  </si>
  <si>
    <t>进度</t>
    <phoneticPr fontId="3" type="noConversion"/>
  </si>
  <si>
    <t>攻略</t>
    <phoneticPr fontId="3" type="noConversion"/>
  </si>
  <si>
    <t>人物名</t>
  </si>
  <si>
    <t>是否登录</t>
  </si>
  <si>
    <t>アルノルト</t>
  </si>
  <si>
    <t>ヴェルナー</t>
  </si>
  <si>
    <r>
      <t>エミ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リータ</t>
    </r>
  </si>
  <si>
    <t>エリック</t>
  </si>
  <si>
    <t>オルクホング</t>
  </si>
  <si>
    <t>カズロー</t>
  </si>
  <si>
    <t>カンタン</t>
  </si>
  <si>
    <t>グレフ</t>
  </si>
  <si>
    <r>
      <t>ケニ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ルヒン</t>
    </r>
  </si>
  <si>
    <t>コパム</t>
  </si>
  <si>
    <t>ジャクソン</t>
  </si>
  <si>
    <t>シューラ</t>
  </si>
  <si>
    <t>ジョエル</t>
  </si>
  <si>
    <t>ジローク</t>
  </si>
  <si>
    <t>スザンナ</t>
  </si>
  <si>
    <t>スルワ</t>
  </si>
  <si>
    <t>ソニア</t>
  </si>
  <si>
    <t>ソルトセサミ</t>
  </si>
  <si>
    <t>ツィリル</t>
  </si>
  <si>
    <t>ディーン</t>
  </si>
  <si>
    <t>ディオニージス</t>
  </si>
  <si>
    <t>デュランド</t>
  </si>
  <si>
    <t>ドロテア</t>
  </si>
  <si>
    <t>ニルニー</t>
  </si>
  <si>
    <t>ヌーク</t>
  </si>
  <si>
    <t>ネリネ</t>
  </si>
  <si>
    <t>パイラル</t>
  </si>
  <si>
    <t>パオラ</t>
  </si>
  <si>
    <t>パピィ</t>
  </si>
  <si>
    <t>フランソワ</t>
  </si>
  <si>
    <t>フリッツ</t>
  </si>
  <si>
    <t>ベッティ</t>
  </si>
  <si>
    <t>マーシャ</t>
  </si>
  <si>
    <t>ミラー</t>
  </si>
  <si>
    <t>メイニー</t>
  </si>
  <si>
    <t>メフィメフィ</t>
  </si>
  <si>
    <t>モニカ</t>
  </si>
  <si>
    <t>ヤーン</t>
  </si>
  <si>
    <t>リルカ</t>
  </si>
  <si>
    <t>ルヒオル</t>
  </si>
  <si>
    <t>レモーレオン</t>
  </si>
  <si>
    <t>ローズウェスト</t>
  </si>
  <si>
    <t>ロコ</t>
  </si>
  <si>
    <t>デジレーン</t>
    <phoneticPr fontId="7" type="noConversion"/>
  </si>
  <si>
    <t>攻略</t>
    <phoneticPr fontId="7" type="noConversion"/>
  </si>
  <si>
    <t>アードルフ</t>
    <phoneticPr fontId="7" type="noConversion"/>
  </si>
  <si>
    <t>なくしたペンダント</t>
    <phoneticPr fontId="3" type="noConversion"/>
  </si>
  <si>
    <r>
      <t>キング</t>
    </r>
    <r>
      <rPr>
        <sz val="11"/>
        <color theme="1"/>
        <rFont val="微软雅黑"/>
        <family val="2"/>
        <charset val="134"/>
      </rPr>
      <t>・</t>
    </r>
    <r>
      <rPr>
        <sz val="11"/>
        <color theme="1"/>
        <rFont val="宋体"/>
        <family val="3"/>
        <charset val="134"/>
        <scheme val="minor"/>
      </rPr>
      <t>スクイズ</t>
    </r>
    <phoneticPr fontId="7" type="noConversion"/>
  </si>
  <si>
    <t>薬の時間</t>
  </si>
  <si>
    <t>君に贈る物語</t>
  </si>
  <si>
    <t>君へ贈る物語</t>
  </si>
  <si>
    <t>君が贈る物語</t>
  </si>
  <si>
    <t>君の贈る物語</t>
  </si>
  <si>
    <t>泥棒モンスター</t>
  </si>
  <si>
    <t>大食いモンスター</t>
  </si>
  <si>
    <t>女性を助けろ</t>
  </si>
  <si>
    <t>ウソつきオーネスト</t>
  </si>
  <si>
    <t>ひとでなしオーネスト</t>
  </si>
  <si>
    <t>こどくのオーネスト</t>
  </si>
  <si>
    <t>方向音痴迷惑ノポン</t>
  </si>
  <si>
    <t>最上級の感謝</t>
  </si>
  <si>
    <r>
      <t>再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最上級の感謝</t>
    </r>
  </si>
  <si>
    <r>
      <t>真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伝説のエンプレス</t>
    </r>
  </si>
  <si>
    <t>高嶺の花への花</t>
  </si>
  <si>
    <t>ぶつかり合うふたつ</t>
  </si>
  <si>
    <t>ザトールへの物資</t>
  </si>
  <si>
    <t>討伐クエスト1その4</t>
  </si>
  <si>
    <t>討伐クエスト2</t>
  </si>
  <si>
    <t>強敵を求めて1その1</t>
  </si>
  <si>
    <t>強敵を求めて1その2</t>
  </si>
  <si>
    <t>強敵を求めて2その1</t>
  </si>
  <si>
    <t>強敵を求めて2その2</t>
  </si>
  <si>
    <t>✕</t>
    <phoneticPr fontId="7" type="noConversion"/>
  </si>
  <si>
    <t>祖父の心孫知らず</t>
    <phoneticPr fontId="7" type="noConversion"/>
  </si>
  <si>
    <t>懐かしの我が街へ</t>
  </si>
  <si>
    <t>いざ、コロニー6へ</t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</si>
  <si>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反撃</t>
    </r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</si>
  <si>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逆転？</t>
    </r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</si>
  <si>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再逆転</t>
    </r>
  </si>
  <si>
    <r>
      <t>料理対決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決着</t>
    </r>
  </si>
  <si>
    <t>珍味を求めて</t>
  </si>
  <si>
    <r>
      <t>続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珍味を求めて</t>
    </r>
  </si>
  <si>
    <t>行方不明の同居人</t>
  </si>
  <si>
    <t>自由を求めて</t>
  </si>
  <si>
    <t>病弱なストロジャム</t>
  </si>
  <si>
    <t>呪われたストロジャム</t>
  </si>
  <si>
    <t>意地っ張りなストロジャム</t>
  </si>
  <si>
    <t>止まらないストロジャム</t>
  </si>
  <si>
    <t>お嬢様対決A</t>
  </si>
  <si>
    <t>お嬢様対決B</t>
  </si>
  <si>
    <t>世界で一番透明なもの</t>
  </si>
  <si>
    <t>お嬢様の恩返しA</t>
  </si>
  <si>
    <t>お嬢様の恩返しB</t>
  </si>
  <si>
    <t>お嬢様のワガママ</t>
  </si>
  <si>
    <t>恋人探し</t>
  </si>
  <si>
    <t>興奮の中年</t>
  </si>
  <si>
    <t>夢中の詩人</t>
  </si>
  <si>
    <t>父に隠れてA</t>
  </si>
  <si>
    <t>父に隠れてB</t>
  </si>
  <si>
    <t>婚約の試練A</t>
  </si>
  <si>
    <t>婚約の試練B</t>
  </si>
  <si>
    <t>逃避行の阻止A</t>
  </si>
  <si>
    <t>逃避行の阻止B</t>
  </si>
  <si>
    <t>執事の悩み</t>
  </si>
  <si>
    <t>使用人の悩み</t>
  </si>
  <si>
    <t>老人マシーナの寿命</t>
  </si>
  <si>
    <t>詩人の悩み</t>
  </si>
  <si>
    <t>困った何でも屋</t>
  </si>
  <si>
    <t>困り果てた何でも屋</t>
  </si>
  <si>
    <r>
      <t>怪しい煙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調査編</t>
    </r>
  </si>
  <si>
    <r>
      <t>怪しい煙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解決編</t>
    </r>
  </si>
  <si>
    <t>ホムスの意地</t>
  </si>
  <si>
    <t>ノポンの意地</t>
  </si>
  <si>
    <t>商売人根性</t>
  </si>
  <si>
    <t>商売人ド根性</t>
  </si>
  <si>
    <r>
      <t>ヌーク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半人前計画</t>
    </r>
  </si>
  <si>
    <r>
      <t>ヌーク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一人前計画</t>
    </r>
  </si>
  <si>
    <t>恋愛を教えてやる</t>
  </si>
  <si>
    <t>勇気を教えてやる</t>
  </si>
  <si>
    <t>マトリョーナの返答</t>
  </si>
  <si>
    <t>わがまま娘ゆえの過ち</t>
  </si>
  <si>
    <t>薬屋業再開</t>
  </si>
  <si>
    <t>タツの弟</t>
  </si>
  <si>
    <t>安らかに眠れ</t>
  </si>
  <si>
    <t>安全な復興のために</t>
  </si>
  <si>
    <t>迂回ルートを作れ</t>
  </si>
  <si>
    <t>食料確保</t>
  </si>
  <si>
    <t>ノポン商会の証</t>
  </si>
  <si>
    <t>安全の確保</t>
  </si>
  <si>
    <t>極秘の任務</t>
  </si>
  <si>
    <t>モナドレプリカ1</t>
  </si>
  <si>
    <t>モナドレプリカ2</t>
  </si>
  <si>
    <t>モナドレプリカ3</t>
  </si>
  <si>
    <t>モナドレプリカ4</t>
  </si>
  <si>
    <t>モナドレプリカ5</t>
  </si>
  <si>
    <t>憂鬱のタルコ</t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</si>
  <si>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機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</si>
  <si>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火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</si>
  <si>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超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</si>
  <si>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鳥</t>
    </r>
  </si>
  <si>
    <r>
      <t>コロニー6を守れ</t>
    </r>
    <r>
      <rPr>
        <sz val="11"/>
        <color theme="1"/>
        <rFont val="宋体"/>
        <family val="3"/>
        <charset val="128"/>
        <scheme val="minor"/>
      </rPr>
      <t>・</t>
    </r>
    <r>
      <rPr>
        <sz val="11"/>
        <color theme="1"/>
        <rFont val="宋体"/>
        <charset val="134"/>
        <scheme val="minor"/>
      </rPr>
      <t>嵐</t>
    </r>
  </si>
  <si>
    <t>ガシをソシ</t>
  </si>
  <si>
    <t>まだまだブッソウ</t>
  </si>
  <si>
    <t>まだブッソウ</t>
  </si>
  <si>
    <t>ヤマイはキから</t>
  </si>
  <si>
    <t>ナゾのチンミ</t>
  </si>
  <si>
    <t>オクリモノ？</t>
  </si>
  <si>
    <t>情報を得ろ</t>
  </si>
  <si>
    <t>さらわれたカチャ</t>
  </si>
  <si>
    <t>巨人族のタカラ</t>
  </si>
  <si>
    <t>ついに巨人族のタカラ</t>
  </si>
  <si>
    <t>野営の準備</t>
  </si>
  <si>
    <t>討伐クエストその1</t>
  </si>
  <si>
    <t>討伐クエストその2</t>
  </si>
  <si>
    <t>討伐クエストその3</t>
  </si>
  <si>
    <t>討伐クエストその4</t>
  </si>
  <si>
    <t>強敵を求めて</t>
  </si>
  <si>
    <t>友人のために</t>
  </si>
  <si>
    <t>友人を楽にしてあげて</t>
  </si>
  <si>
    <t>かつての仲間達を</t>
  </si>
  <si>
    <t>皇族の儀</t>
  </si>
  <si>
    <t>皇族の儀の準備</t>
  </si>
  <si>
    <t>古代の儀式</t>
  </si>
  <si>
    <t>儀式の準備</t>
  </si>
  <si>
    <t>列1</t>
    <phoneticPr fontId="7" type="noConversion"/>
  </si>
  <si>
    <t>単独行動の兵士</t>
  </si>
  <si>
    <t>蜘蛛の繭は金になる</t>
  </si>
  <si>
    <t>これまでのお礼</t>
  </si>
  <si>
    <t>進路妨害</t>
  </si>
  <si>
    <t>バルファルガの書</t>
  </si>
  <si>
    <t>バルファルガの血</t>
  </si>
  <si>
    <t>バルファルガの道</t>
  </si>
  <si>
    <t>バルファルガの棺</t>
  </si>
  <si>
    <t>バルファルガの礼</t>
  </si>
  <si>
    <t>収集クエストその1</t>
  </si>
  <si>
    <t>収集クエストその2</t>
  </si>
  <si>
    <t>素材クエストその1</t>
  </si>
  <si>
    <t>素材クエストその2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</si>
</sst>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28"/>
      <scheme val="minor"/>
    </font>
    <font>
      <b/>
      <sz val="11"/>
      <color theme="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3">
    <xf numFmtId="0" fontId="0" fillId="0" borderId="0">
      <alignment vertical="center"/>
    </xf>
    <xf numFmtId="9" fontId="2" fillId="0" borderId="0">
      <alignment vertical="center"/>
    </xf>
    <xf numFmtId="0" fontId="1" fillId="0" borderId="0">
      <alignment vertical="center"/>
    </xf>
  </cellStyleXfs>
  <cellXfs count="12">
    <xf numFmtId="0" fontId="0" fillId="0" borderId="0" xfId="0">
      <alignment vertical="center"/>
    </xf>
    <xf numFmtId="0" fontId="6" fillId="0" borderId="0" xfId="0" applyFont="1">
      <alignment vertical="center"/>
    </xf>
    <xf numFmtId="0" fontId="6" fillId="3" borderId="0" xfId="0" applyFont="1" applyFill="1">
      <alignment vertical="center"/>
    </xf>
    <xf numFmtId="0" fontId="0" fillId="0" borderId="0" xfId="0" applyNumberFormat="1">
      <alignment vertical="center"/>
    </xf>
    <xf numFmtId="0" fontId="6" fillId="0" borderId="0" xfId="0" applyNumberFormat="1" applyFont="1">
      <alignment vertical="center"/>
    </xf>
    <xf numFmtId="9" fontId="2" fillId="0" borderId="0" xfId="1">
      <alignment vertical="center"/>
    </xf>
    <xf numFmtId="0" fontId="1" fillId="0" borderId="0" xfId="2" applyFill="1" applyAlignment="1">
      <alignment horizontal="left" vertical="top"/>
    </xf>
    <xf numFmtId="0" fontId="1" fillId="0" borderId="0" xfId="2">
      <alignment vertical="center"/>
    </xf>
    <xf numFmtId="0" fontId="9" fillId="0" borderId="0" xfId="0" applyFont="1">
      <alignment vertical="center"/>
    </xf>
    <xf numFmtId="0" fontId="5" fillId="2" borderId="1" xfId="0" applyNumberFormat="1" applyFont="1" applyFill="1" applyBorder="1">
      <alignment vertical="center"/>
    </xf>
    <xf numFmtId="0" fontId="5" fillId="2" borderId="2" xfId="0" applyNumberFormat="1" applyFont="1" applyFill="1" applyBorder="1">
      <alignment vertical="center"/>
    </xf>
    <xf numFmtId="0" fontId="5" fillId="2" borderId="3" xfId="0" applyNumberFormat="1" applyFont="1" applyFill="1" applyBorder="1">
      <alignment vertical="center"/>
    </xf>
  </cellXfs>
  <cellStyles count="3">
    <cellStyle name="百分比" xfId="1" builtinId="5"/>
    <cellStyle name="常规" xfId="0" builtinId="0"/>
    <cellStyle name="超链接" xfId="2" builtinId="8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宋体"/>
        <family val="3"/>
        <charset val="134"/>
        <scheme val="minor"/>
      </font>
      <numFmt numFmtId="0" formatCode="General"/>
      <fill>
        <patternFill patternType="solid">
          <fgColor theme="4"/>
          <bgColor theme="4"/>
        </patternFill>
      </fill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F486E3-DEDE-4E45-A95D-2D0D3E53FEE2}" name="表1" displayName="表1" ref="A5:C86" totalsRowShown="0" headerRowDxfId="6">
  <autoFilter ref="A5:C86" xr:uid="{3DF486E3-DEDE-4E45-A95D-2D0D3E53FEE2}">
    <filterColumn colId="2">
      <filters>
        <filter val="✕"/>
      </filters>
    </filterColumn>
  </autoFilter>
  <tableColumns count="3">
    <tableColumn id="3" xr3:uid="{EA900AEC-0B63-4AA7-B3D8-6CDBCC5A911C}" name="编号"/>
    <tableColumn id="1" xr3:uid="{ED73C421-44DF-4CDC-ADEA-E2FE80D4E14E}" name="任务名称"/>
    <tableColumn id="2" xr3:uid="{5F33D84F-4073-4864-88D8-1C010F62F3B0}" name="完成情况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33E7D7-3DE6-4C25-814D-72C9C26B0532}" name="表7" displayName="表7" ref="A5:C18" totalsRowShown="0">
  <autoFilter ref="A5:C18" xr:uid="{8F33E7D7-3DE6-4C25-814D-72C9C26B0532}"/>
  <tableColumns count="3">
    <tableColumn id="1" xr3:uid="{0252C2C1-CF82-437D-8497-361BB5DC39C0}" name="编号"/>
    <tableColumn id="2" xr3:uid="{DA8DEC96-AD14-4BEC-8391-69BE33256348}" name="任务名称"/>
    <tableColumn id="3" xr3:uid="{BA53CC40-B93D-4411-82B6-BBAF2D829212}" name="完成情况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B7A9E8-75B0-4D7E-8B2C-6C50DCAB165F}" name="表4" displayName="表4" ref="A5:C43" totalsRowShown="0">
  <autoFilter ref="A5:C43" xr:uid="{0CB7A9E8-75B0-4D7E-8B2C-6C50DCAB165F}"/>
  <tableColumns count="3">
    <tableColumn id="1" xr3:uid="{89352372-A9DF-4F7F-937C-CA7040290619}" name="编号"/>
    <tableColumn id="2" xr3:uid="{31E24DC8-7943-4644-B908-512248B3EC3A}" name="任务名称"/>
    <tableColumn id="3" xr3:uid="{3ECE1AC2-8F88-4166-924C-433798B4296C}" name="完成情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4E1D6C-C3DD-4C6C-A16D-D1A59AF2B7CF}" name="表5" displayName="表5" ref="A5:C72" totalsRowShown="0" headerRowDxfId="3" headerRowBorderDxfId="4" tableBorderDxfId="5">
  <autoFilter ref="A5:C72" xr:uid="{754E1D6C-C3DD-4C6C-A16D-D1A59AF2B7CF}"/>
  <tableColumns count="3">
    <tableColumn id="1" xr3:uid="{DAA8F758-32AC-4096-854B-8F5BFE82AEC3}" name="编号"/>
    <tableColumn id="2" xr3:uid="{D0825E05-AD73-476C-8787-8189F4C9FD10}" name="任务名称"/>
    <tableColumn id="3" xr3:uid="{9615AA80-5E18-49E1-A2A0-8DEB5CBA5734}" name="完成情况" dataDxfId="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9CCDB9-2817-4D65-872E-1AC3F93242E6}" name="表6" displayName="表6" ref="A5:C28" totalsRowShown="0">
  <autoFilter ref="A5:C28" xr:uid="{8F9CCDB9-2817-4D65-872E-1AC3F93242E6}"/>
  <tableColumns count="3">
    <tableColumn id="1" xr3:uid="{64022D4A-70F4-483C-B15F-6CAD04EEA75D}" name="编号"/>
    <tableColumn id="2" xr3:uid="{50EF0F23-6321-4BDA-A833-01DA7B03D954}" name="列1"/>
    <tableColumn id="3" xr3:uid="{8355F363-3C96-4767-904A-39C2F6B5B6E9}" name="完成情况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139262-1BA4-46AB-852D-29FC7D678869}" name="表3" displayName="表3" ref="A2:B48" totalsRowShown="0">
  <autoFilter ref="A2:B48" xr:uid="{9F139262-1BA4-46AB-852D-29FC7D678869}">
    <filterColumn colId="1">
      <filters blank="1"/>
    </filterColumn>
  </autoFilter>
  <tableColumns count="2">
    <tableColumn id="1" xr3:uid="{D65E8901-8971-427A-9888-85AECF18D69B}" name="人物名"/>
    <tableColumn id="5" xr3:uid="{9F7C8614-459E-4F98-9700-F7CE3743C232}" name="是否登录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amewith.jp/xenoblade/article/show/205236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gamewith.jp/xenoblade/article/show/207385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amewith.jp/xenoblade/article/show/20523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gamewith.jp/xenoblade/article/show/205240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gamewith.jp/xenoblade/article/show/207401" TargetMode="External"/><Relationship Id="rId1" Type="http://schemas.openxmlformats.org/officeDocument/2006/relationships/hyperlink" Target="https://gamewith.jp/xenoblade/article/show/205236" TargetMode="Externa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gamewith.jp/xenoblade/article/show/2055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6"/>
  <sheetViews>
    <sheetView workbookViewId="0">
      <selection activeCell="A4" sqref="A1:B4"/>
    </sheetView>
  </sheetViews>
  <sheetFormatPr defaultColWidth="9" defaultRowHeight="14" x14ac:dyDescent="0.25"/>
  <cols>
    <col min="2" max="2" width="24.36328125" bestFit="1" customWidth="1"/>
    <col min="3" max="3" width="11.1796875" customWidth="1"/>
  </cols>
  <sheetData>
    <row r="1" spans="1:3" x14ac:dyDescent="0.25">
      <c r="A1" s="6" t="s">
        <v>89</v>
      </c>
      <c r="B1" s="6"/>
    </row>
    <row r="2" spans="1:3" x14ac:dyDescent="0.25">
      <c r="A2" s="2" t="s">
        <v>86</v>
      </c>
      <c r="B2">
        <f>COUNTIF(表1[完成情况],"〇")</f>
        <v>49</v>
      </c>
    </row>
    <row r="3" spans="1:3" x14ac:dyDescent="0.25">
      <c r="A3" s="2" t="s">
        <v>87</v>
      </c>
      <c r="B3">
        <f>COUNTIF(表1[完成情况],"✕")</f>
        <v>32</v>
      </c>
    </row>
    <row r="4" spans="1:3" x14ac:dyDescent="0.25">
      <c r="A4" s="2" t="s">
        <v>88</v>
      </c>
      <c r="B4" s="5">
        <f>B2/MAX(表1[编号])</f>
        <v>0.60493827160493829</v>
      </c>
    </row>
    <row r="5" spans="1:3" s="3" customFormat="1" x14ac:dyDescent="0.25">
      <c r="A5" s="3" t="s">
        <v>2</v>
      </c>
      <c r="B5" s="3" t="s">
        <v>0</v>
      </c>
      <c r="C5" s="4" t="s">
        <v>85</v>
      </c>
    </row>
    <row r="6" spans="1:3" x14ac:dyDescent="0.25">
      <c r="A6">
        <v>1</v>
      </c>
      <c r="B6" t="s">
        <v>3</v>
      </c>
      <c r="C6" t="s">
        <v>84</v>
      </c>
    </row>
    <row r="7" spans="1:3" hidden="1" x14ac:dyDescent="0.25">
      <c r="A7">
        <v>2</v>
      </c>
      <c r="B7" t="s">
        <v>4</v>
      </c>
      <c r="C7" t="s">
        <v>83</v>
      </c>
    </row>
    <row r="8" spans="1:3" hidden="1" x14ac:dyDescent="0.25">
      <c r="A8">
        <v>3</v>
      </c>
      <c r="B8" t="s">
        <v>5</v>
      </c>
      <c r="C8" t="s">
        <v>83</v>
      </c>
    </row>
    <row r="9" spans="1:3" hidden="1" x14ac:dyDescent="0.25">
      <c r="A9">
        <v>4</v>
      </c>
      <c r="B9" t="s">
        <v>6</v>
      </c>
      <c r="C9" t="s">
        <v>83</v>
      </c>
    </row>
    <row r="10" spans="1:3" x14ac:dyDescent="0.25">
      <c r="A10">
        <v>5</v>
      </c>
      <c r="B10" t="s">
        <v>7</v>
      </c>
      <c r="C10" t="s">
        <v>84</v>
      </c>
    </row>
    <row r="11" spans="1:3" hidden="1" x14ac:dyDescent="0.25">
      <c r="A11">
        <v>6</v>
      </c>
      <c r="B11" t="s">
        <v>8</v>
      </c>
      <c r="C11" t="s">
        <v>83</v>
      </c>
    </row>
    <row r="12" spans="1:3" hidden="1" x14ac:dyDescent="0.25">
      <c r="A12">
        <v>7</v>
      </c>
      <c r="B12" t="s">
        <v>9</v>
      </c>
      <c r="C12" t="s">
        <v>83</v>
      </c>
    </row>
    <row r="13" spans="1:3" hidden="1" x14ac:dyDescent="0.25">
      <c r="A13">
        <v>8</v>
      </c>
      <c r="B13" t="s">
        <v>10</v>
      </c>
      <c r="C13" t="s">
        <v>83</v>
      </c>
    </row>
    <row r="14" spans="1:3" hidden="1" x14ac:dyDescent="0.25">
      <c r="A14">
        <v>9</v>
      </c>
      <c r="B14" t="s">
        <v>11</v>
      </c>
      <c r="C14" t="s">
        <v>83</v>
      </c>
    </row>
    <row r="15" spans="1:3" hidden="1" x14ac:dyDescent="0.25">
      <c r="A15">
        <v>10</v>
      </c>
      <c r="B15" t="s">
        <v>12</v>
      </c>
      <c r="C15" t="s">
        <v>83</v>
      </c>
    </row>
    <row r="16" spans="1:3" x14ac:dyDescent="0.25">
      <c r="A16">
        <v>11</v>
      </c>
      <c r="B16" t="s">
        <v>13</v>
      </c>
      <c r="C16" t="s">
        <v>84</v>
      </c>
    </row>
    <row r="17" spans="1:3" x14ac:dyDescent="0.25">
      <c r="A17">
        <v>12</v>
      </c>
      <c r="B17" t="s">
        <v>14</v>
      </c>
      <c r="C17" t="s">
        <v>84</v>
      </c>
    </row>
    <row r="18" spans="1:3" x14ac:dyDescent="0.25">
      <c r="A18">
        <v>13</v>
      </c>
      <c r="B18" t="s">
        <v>15</v>
      </c>
      <c r="C18" t="s">
        <v>84</v>
      </c>
    </row>
    <row r="19" spans="1:3" x14ac:dyDescent="0.25">
      <c r="A19">
        <v>14</v>
      </c>
      <c r="B19" t="s">
        <v>16</v>
      </c>
      <c r="C19" t="s">
        <v>83</v>
      </c>
    </row>
    <row r="20" spans="1:3" x14ac:dyDescent="0.25">
      <c r="A20">
        <v>15</v>
      </c>
      <c r="B20" t="s">
        <v>17</v>
      </c>
      <c r="C20" t="s">
        <v>83</v>
      </c>
    </row>
    <row r="21" spans="1:3" hidden="1" x14ac:dyDescent="0.25">
      <c r="A21">
        <v>16</v>
      </c>
      <c r="B21" t="s">
        <v>18</v>
      </c>
      <c r="C21" t="s">
        <v>83</v>
      </c>
    </row>
    <row r="22" spans="1:3" x14ac:dyDescent="0.25">
      <c r="A22">
        <v>17</v>
      </c>
      <c r="B22" t="s">
        <v>19</v>
      </c>
      <c r="C22" t="s">
        <v>84</v>
      </c>
    </row>
    <row r="23" spans="1:3" hidden="1" x14ac:dyDescent="0.25">
      <c r="A23">
        <v>18</v>
      </c>
      <c r="B23" t="s">
        <v>20</v>
      </c>
      <c r="C23" t="s">
        <v>83</v>
      </c>
    </row>
    <row r="24" spans="1:3" x14ac:dyDescent="0.25">
      <c r="A24">
        <v>19</v>
      </c>
      <c r="B24" t="s">
        <v>21</v>
      </c>
      <c r="C24" t="s">
        <v>84</v>
      </c>
    </row>
    <row r="25" spans="1:3" hidden="1" x14ac:dyDescent="0.25">
      <c r="A25">
        <v>20</v>
      </c>
      <c r="B25" t="s">
        <v>22</v>
      </c>
      <c r="C25" t="s">
        <v>83</v>
      </c>
    </row>
    <row r="26" spans="1:3" x14ac:dyDescent="0.25">
      <c r="A26">
        <v>21</v>
      </c>
      <c r="B26" t="s">
        <v>23</v>
      </c>
      <c r="C26" t="s">
        <v>84</v>
      </c>
    </row>
    <row r="27" spans="1:3" x14ac:dyDescent="0.25">
      <c r="A27">
        <v>22</v>
      </c>
      <c r="B27" t="s">
        <v>24</v>
      </c>
      <c r="C27" t="s">
        <v>84</v>
      </c>
    </row>
    <row r="28" spans="1:3" hidden="1" x14ac:dyDescent="0.25">
      <c r="A28">
        <v>23</v>
      </c>
      <c r="B28" t="s">
        <v>25</v>
      </c>
      <c r="C28" t="s">
        <v>83</v>
      </c>
    </row>
    <row r="29" spans="1:3" hidden="1" x14ac:dyDescent="0.25">
      <c r="A29">
        <v>24</v>
      </c>
      <c r="B29" t="s">
        <v>26</v>
      </c>
      <c r="C29" t="s">
        <v>83</v>
      </c>
    </row>
    <row r="30" spans="1:3" hidden="1" x14ac:dyDescent="0.25">
      <c r="A30">
        <v>25</v>
      </c>
      <c r="B30" t="s">
        <v>27</v>
      </c>
      <c r="C30" t="s">
        <v>83</v>
      </c>
    </row>
    <row r="31" spans="1:3" x14ac:dyDescent="0.25">
      <c r="A31">
        <v>26</v>
      </c>
      <c r="B31" t="s">
        <v>28</v>
      </c>
      <c r="C31" t="s">
        <v>84</v>
      </c>
    </row>
    <row r="32" spans="1:3" x14ac:dyDescent="0.25">
      <c r="A32">
        <v>27</v>
      </c>
      <c r="B32" t="s">
        <v>29</v>
      </c>
      <c r="C32" t="s">
        <v>84</v>
      </c>
    </row>
    <row r="33" spans="1:3" x14ac:dyDescent="0.25">
      <c r="A33">
        <v>28</v>
      </c>
      <c r="B33" t="s">
        <v>30</v>
      </c>
      <c r="C33" t="s">
        <v>84</v>
      </c>
    </row>
    <row r="34" spans="1:3" hidden="1" x14ac:dyDescent="0.25">
      <c r="A34">
        <v>29</v>
      </c>
      <c r="B34" t="s">
        <v>31</v>
      </c>
      <c r="C34" t="s">
        <v>83</v>
      </c>
    </row>
    <row r="35" spans="1:3" x14ac:dyDescent="0.25">
      <c r="A35">
        <v>30</v>
      </c>
      <c r="B35" t="s">
        <v>32</v>
      </c>
      <c r="C35" t="s">
        <v>84</v>
      </c>
    </row>
    <row r="36" spans="1:3" x14ac:dyDescent="0.25">
      <c r="A36">
        <v>31</v>
      </c>
      <c r="B36" t="s">
        <v>33</v>
      </c>
      <c r="C36" t="s">
        <v>84</v>
      </c>
    </row>
    <row r="37" spans="1:3" x14ac:dyDescent="0.25">
      <c r="A37">
        <v>32</v>
      </c>
      <c r="B37" t="s">
        <v>34</v>
      </c>
      <c r="C37" t="s">
        <v>84</v>
      </c>
    </row>
    <row r="38" spans="1:3" x14ac:dyDescent="0.25">
      <c r="A38">
        <v>33</v>
      </c>
      <c r="B38" t="s">
        <v>35</v>
      </c>
      <c r="C38" t="s">
        <v>84</v>
      </c>
    </row>
    <row r="39" spans="1:3" x14ac:dyDescent="0.25">
      <c r="A39">
        <v>34</v>
      </c>
      <c r="B39" t="s">
        <v>36</v>
      </c>
      <c r="C39" t="s">
        <v>84</v>
      </c>
    </row>
    <row r="40" spans="1:3" hidden="1" x14ac:dyDescent="0.25">
      <c r="A40">
        <v>35</v>
      </c>
      <c r="B40" t="s">
        <v>37</v>
      </c>
      <c r="C40" t="s">
        <v>83</v>
      </c>
    </row>
    <row r="41" spans="1:3" x14ac:dyDescent="0.25">
      <c r="A41">
        <v>36</v>
      </c>
      <c r="B41" t="s">
        <v>38</v>
      </c>
      <c r="C41" t="s">
        <v>84</v>
      </c>
    </row>
    <row r="42" spans="1:3" x14ac:dyDescent="0.25">
      <c r="A42">
        <v>37</v>
      </c>
      <c r="B42" t="s">
        <v>39</v>
      </c>
      <c r="C42" t="s">
        <v>84</v>
      </c>
    </row>
    <row r="43" spans="1:3" x14ac:dyDescent="0.25">
      <c r="A43">
        <v>38</v>
      </c>
      <c r="B43" t="s">
        <v>40</v>
      </c>
      <c r="C43" t="s">
        <v>84</v>
      </c>
    </row>
    <row r="44" spans="1:3" x14ac:dyDescent="0.25">
      <c r="A44">
        <v>39</v>
      </c>
      <c r="B44" t="s">
        <v>41</v>
      </c>
      <c r="C44" t="s">
        <v>84</v>
      </c>
    </row>
    <row r="45" spans="1:3" x14ac:dyDescent="0.25">
      <c r="A45">
        <v>40</v>
      </c>
      <c r="B45" t="s">
        <v>42</v>
      </c>
      <c r="C45" t="s">
        <v>84</v>
      </c>
    </row>
    <row r="46" spans="1:3" x14ac:dyDescent="0.25">
      <c r="A46">
        <v>41</v>
      </c>
      <c r="B46" t="s">
        <v>43</v>
      </c>
      <c r="C46" t="s">
        <v>84</v>
      </c>
    </row>
    <row r="47" spans="1:3" x14ac:dyDescent="0.25">
      <c r="A47">
        <v>42</v>
      </c>
      <c r="B47" t="s">
        <v>44</v>
      </c>
      <c r="C47" t="s">
        <v>84</v>
      </c>
    </row>
    <row r="48" spans="1:3" x14ac:dyDescent="0.25">
      <c r="A48">
        <v>43</v>
      </c>
      <c r="B48" t="s">
        <v>45</v>
      </c>
      <c r="C48" t="s">
        <v>84</v>
      </c>
    </row>
    <row r="49" spans="1:3" x14ac:dyDescent="0.25">
      <c r="A49">
        <v>44</v>
      </c>
      <c r="B49" t="s">
        <v>46</v>
      </c>
      <c r="C49" t="s">
        <v>84</v>
      </c>
    </row>
    <row r="50" spans="1:3" x14ac:dyDescent="0.25">
      <c r="A50">
        <v>45</v>
      </c>
      <c r="B50" t="s">
        <v>47</v>
      </c>
      <c r="C50" t="s">
        <v>84</v>
      </c>
    </row>
    <row r="51" spans="1:3" x14ac:dyDescent="0.25">
      <c r="A51">
        <v>46</v>
      </c>
      <c r="B51" t="s">
        <v>48</v>
      </c>
      <c r="C51" t="s">
        <v>84</v>
      </c>
    </row>
    <row r="52" spans="1:3" hidden="1" x14ac:dyDescent="0.25">
      <c r="A52">
        <v>47</v>
      </c>
      <c r="B52" t="s">
        <v>49</v>
      </c>
      <c r="C52" t="s">
        <v>83</v>
      </c>
    </row>
    <row r="53" spans="1:3" x14ac:dyDescent="0.25">
      <c r="A53">
        <v>48</v>
      </c>
      <c r="B53" t="s">
        <v>50</v>
      </c>
      <c r="C53" t="s">
        <v>84</v>
      </c>
    </row>
    <row r="54" spans="1:3" x14ac:dyDescent="0.25">
      <c r="A54">
        <v>49</v>
      </c>
      <c r="B54" s="1" t="s">
        <v>138</v>
      </c>
      <c r="C54" t="s">
        <v>84</v>
      </c>
    </row>
    <row r="55" spans="1:3" hidden="1" x14ac:dyDescent="0.25">
      <c r="A55">
        <v>50</v>
      </c>
      <c r="B55" t="s">
        <v>51</v>
      </c>
      <c r="C55" t="s">
        <v>83</v>
      </c>
    </row>
    <row r="56" spans="1:3" hidden="1" x14ac:dyDescent="0.25">
      <c r="A56">
        <v>51</v>
      </c>
      <c r="B56" t="s">
        <v>52</v>
      </c>
      <c r="C56" t="s">
        <v>83</v>
      </c>
    </row>
    <row r="57" spans="1:3" hidden="1" x14ac:dyDescent="0.25">
      <c r="A57">
        <v>52</v>
      </c>
      <c r="B57" t="s">
        <v>53</v>
      </c>
      <c r="C57" t="s">
        <v>83</v>
      </c>
    </row>
    <row r="58" spans="1:3" hidden="1" x14ac:dyDescent="0.25">
      <c r="A58">
        <v>53</v>
      </c>
      <c r="B58" t="s">
        <v>54</v>
      </c>
      <c r="C58" t="s">
        <v>83</v>
      </c>
    </row>
    <row r="59" spans="1:3" hidden="1" x14ac:dyDescent="0.25">
      <c r="A59">
        <v>54</v>
      </c>
      <c r="B59" t="s">
        <v>55</v>
      </c>
      <c r="C59" t="s">
        <v>83</v>
      </c>
    </row>
    <row r="60" spans="1:3" hidden="1" x14ac:dyDescent="0.25">
      <c r="A60">
        <v>55</v>
      </c>
      <c r="B60" t="s">
        <v>56</v>
      </c>
      <c r="C60" t="s">
        <v>83</v>
      </c>
    </row>
    <row r="61" spans="1:3" hidden="1" x14ac:dyDescent="0.25">
      <c r="A61">
        <v>56</v>
      </c>
      <c r="B61" t="s">
        <v>57</v>
      </c>
      <c r="C61" t="s">
        <v>83</v>
      </c>
    </row>
    <row r="62" spans="1:3" hidden="1" x14ac:dyDescent="0.25">
      <c r="A62">
        <v>57</v>
      </c>
      <c r="B62" t="s">
        <v>58</v>
      </c>
      <c r="C62" t="s">
        <v>83</v>
      </c>
    </row>
    <row r="63" spans="1:3" hidden="1" x14ac:dyDescent="0.25">
      <c r="A63">
        <v>58</v>
      </c>
      <c r="B63" t="s">
        <v>59</v>
      </c>
      <c r="C63" t="s">
        <v>83</v>
      </c>
    </row>
    <row r="64" spans="1:3" hidden="1" x14ac:dyDescent="0.25">
      <c r="A64">
        <v>59</v>
      </c>
      <c r="B64" t="s">
        <v>60</v>
      </c>
      <c r="C64" t="s">
        <v>83</v>
      </c>
    </row>
    <row r="65" spans="1:3" hidden="1" x14ac:dyDescent="0.25">
      <c r="A65">
        <v>60</v>
      </c>
      <c r="B65" t="s">
        <v>61</v>
      </c>
      <c r="C65" t="s">
        <v>83</v>
      </c>
    </row>
    <row r="66" spans="1:3" hidden="1" x14ac:dyDescent="0.25">
      <c r="A66">
        <v>61</v>
      </c>
      <c r="B66" t="s">
        <v>62</v>
      </c>
      <c r="C66" t="s">
        <v>83</v>
      </c>
    </row>
    <row r="67" spans="1:3" hidden="1" x14ac:dyDescent="0.25">
      <c r="A67">
        <v>62</v>
      </c>
      <c r="B67" t="s">
        <v>63</v>
      </c>
      <c r="C67" t="s">
        <v>83</v>
      </c>
    </row>
    <row r="68" spans="1:3" hidden="1" x14ac:dyDescent="0.25">
      <c r="A68">
        <v>63</v>
      </c>
      <c r="B68" t="s">
        <v>64</v>
      </c>
      <c r="C68" t="s">
        <v>83</v>
      </c>
    </row>
    <row r="69" spans="1:3" hidden="1" x14ac:dyDescent="0.25">
      <c r="A69">
        <v>64</v>
      </c>
      <c r="B69" t="s">
        <v>65</v>
      </c>
      <c r="C69" t="s">
        <v>83</v>
      </c>
    </row>
    <row r="70" spans="1:3" hidden="1" x14ac:dyDescent="0.25">
      <c r="A70">
        <v>65</v>
      </c>
      <c r="B70" t="s">
        <v>66</v>
      </c>
      <c r="C70" t="s">
        <v>83</v>
      </c>
    </row>
    <row r="71" spans="1:3" hidden="1" x14ac:dyDescent="0.25">
      <c r="A71">
        <v>66</v>
      </c>
      <c r="B71" t="s">
        <v>67</v>
      </c>
      <c r="C71" t="s">
        <v>83</v>
      </c>
    </row>
    <row r="72" spans="1:3" hidden="1" x14ac:dyDescent="0.25">
      <c r="A72">
        <v>67</v>
      </c>
      <c r="B72" t="s">
        <v>68</v>
      </c>
      <c r="C72" t="s">
        <v>83</v>
      </c>
    </row>
    <row r="73" spans="1:3" hidden="1" x14ac:dyDescent="0.25">
      <c r="A73">
        <v>68</v>
      </c>
      <c r="B73" t="s">
        <v>69</v>
      </c>
      <c r="C73" t="s">
        <v>83</v>
      </c>
    </row>
    <row r="74" spans="1:3" hidden="1" x14ac:dyDescent="0.25">
      <c r="A74">
        <v>69</v>
      </c>
      <c r="B74" t="s">
        <v>70</v>
      </c>
      <c r="C74" t="s">
        <v>83</v>
      </c>
    </row>
    <row r="75" spans="1:3" hidden="1" x14ac:dyDescent="0.25">
      <c r="A75">
        <v>70</v>
      </c>
      <c r="B75" t="s">
        <v>71</v>
      </c>
      <c r="C75" t="s">
        <v>83</v>
      </c>
    </row>
    <row r="76" spans="1:3" hidden="1" x14ac:dyDescent="0.25">
      <c r="A76">
        <v>71</v>
      </c>
      <c r="B76" t="s">
        <v>72</v>
      </c>
      <c r="C76" t="s">
        <v>83</v>
      </c>
    </row>
    <row r="77" spans="1:3" hidden="1" x14ac:dyDescent="0.25">
      <c r="A77">
        <v>72</v>
      </c>
      <c r="B77" t="s">
        <v>73</v>
      </c>
      <c r="C77" t="s">
        <v>83</v>
      </c>
    </row>
    <row r="78" spans="1:3" hidden="1" x14ac:dyDescent="0.25">
      <c r="A78">
        <v>73</v>
      </c>
      <c r="B78" t="s">
        <v>74</v>
      </c>
      <c r="C78" t="s">
        <v>83</v>
      </c>
    </row>
    <row r="79" spans="1:3" hidden="1" x14ac:dyDescent="0.25">
      <c r="A79">
        <v>74</v>
      </c>
      <c r="B79" t="s">
        <v>75</v>
      </c>
      <c r="C79" t="s">
        <v>83</v>
      </c>
    </row>
    <row r="80" spans="1:3" hidden="1" x14ac:dyDescent="0.25">
      <c r="A80">
        <v>75</v>
      </c>
      <c r="B80" t="s">
        <v>76</v>
      </c>
      <c r="C80" t="s">
        <v>83</v>
      </c>
    </row>
    <row r="81" spans="1:3" hidden="1" x14ac:dyDescent="0.25">
      <c r="A81">
        <v>76</v>
      </c>
      <c r="B81" t="s">
        <v>77</v>
      </c>
      <c r="C81" t="s">
        <v>83</v>
      </c>
    </row>
    <row r="82" spans="1:3" hidden="1" x14ac:dyDescent="0.25">
      <c r="A82">
        <v>77</v>
      </c>
      <c r="B82" t="s">
        <v>78</v>
      </c>
      <c r="C82" t="s">
        <v>83</v>
      </c>
    </row>
    <row r="83" spans="1:3" hidden="1" x14ac:dyDescent="0.25">
      <c r="A83">
        <v>78</v>
      </c>
      <c r="B83" t="s">
        <v>79</v>
      </c>
      <c r="C83" t="s">
        <v>83</v>
      </c>
    </row>
    <row r="84" spans="1:3" x14ac:dyDescent="0.25">
      <c r="A84">
        <v>79</v>
      </c>
      <c r="B84" t="s">
        <v>80</v>
      </c>
      <c r="C84" t="s">
        <v>84</v>
      </c>
    </row>
    <row r="85" spans="1:3" x14ac:dyDescent="0.25">
      <c r="A85">
        <v>80</v>
      </c>
      <c r="B85" t="s">
        <v>81</v>
      </c>
      <c r="C85" t="s">
        <v>84</v>
      </c>
    </row>
    <row r="86" spans="1:3" hidden="1" x14ac:dyDescent="0.25">
      <c r="A86">
        <v>81</v>
      </c>
      <c r="B86" t="s">
        <v>82</v>
      </c>
      <c r="C86" t="s">
        <v>83</v>
      </c>
    </row>
  </sheetData>
  <mergeCells count="1">
    <mergeCell ref="A1:B1"/>
  </mergeCells>
  <phoneticPr fontId="3" type="noConversion"/>
  <dataValidations count="1">
    <dataValidation type="list" allowBlank="1" showInputMessage="1" showErrorMessage="1" sqref="C6:C1048576" xr:uid="{610CF269-FBE8-4E74-B929-9B7218A752A0}">
      <formula1>"〇,✕"</formula1>
    </dataValidation>
  </dataValidations>
  <hyperlinks>
    <hyperlink ref="A1" r:id="rId1" xr:uid="{F61BF001-87C3-4419-92D4-EB96ABEDB6CD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BB89-8F41-449D-A268-2C1786ACA087}">
  <dimension ref="A1:C18"/>
  <sheetViews>
    <sheetView workbookViewId="0">
      <selection activeCell="E41" sqref="E41"/>
    </sheetView>
  </sheetViews>
  <sheetFormatPr defaultRowHeight="14" x14ac:dyDescent="0.25"/>
  <cols>
    <col min="1" max="1" width="7.26953125" bestFit="1" customWidth="1"/>
    <col min="2" max="2" width="20" bestFit="1" customWidth="1"/>
    <col min="3" max="3" width="11.1796875" customWidth="1"/>
  </cols>
  <sheetData>
    <row r="1" spans="1:3" x14ac:dyDescent="0.25">
      <c r="A1" s="7" t="s">
        <v>89</v>
      </c>
      <c r="B1" s="7"/>
    </row>
    <row r="2" spans="1:3" x14ac:dyDescent="0.25">
      <c r="A2" s="2" t="s">
        <v>86</v>
      </c>
      <c r="B2">
        <f>COUNTIF(表7[完成情况],"〇")</f>
        <v>8</v>
      </c>
    </row>
    <row r="3" spans="1:3" x14ac:dyDescent="0.25">
      <c r="A3" s="2" t="s">
        <v>87</v>
      </c>
      <c r="B3">
        <f>COUNTIF(表7[完成情况],"✕")</f>
        <v>5</v>
      </c>
    </row>
    <row r="4" spans="1:3" x14ac:dyDescent="0.25">
      <c r="A4" s="2" t="s">
        <v>88</v>
      </c>
      <c r="B4" s="5">
        <f>B2/MAX(表7[编号])</f>
        <v>0.61538461538461542</v>
      </c>
    </row>
    <row r="5" spans="1:3" x14ac:dyDescent="0.25">
      <c r="A5" t="s">
        <v>2</v>
      </c>
      <c r="B5" t="s">
        <v>0</v>
      </c>
      <c r="C5" t="s">
        <v>1</v>
      </c>
    </row>
    <row r="6" spans="1:3" ht="16.5" x14ac:dyDescent="0.25">
      <c r="A6">
        <v>1</v>
      </c>
      <c r="B6" t="s">
        <v>257</v>
      </c>
      <c r="C6" s="8" t="s">
        <v>83</v>
      </c>
    </row>
    <row r="7" spans="1:3" ht="16.5" x14ac:dyDescent="0.25">
      <c r="A7">
        <v>2</v>
      </c>
      <c r="B7" t="s">
        <v>258</v>
      </c>
      <c r="C7" s="8" t="s">
        <v>83</v>
      </c>
    </row>
    <row r="8" spans="1:3" ht="16.5" x14ac:dyDescent="0.25">
      <c r="A8">
        <v>3</v>
      </c>
      <c r="B8" t="s">
        <v>259</v>
      </c>
      <c r="C8" s="8" t="s">
        <v>83</v>
      </c>
    </row>
    <row r="9" spans="1:3" ht="16.5" x14ac:dyDescent="0.25">
      <c r="A9">
        <v>4</v>
      </c>
      <c r="B9" t="s">
        <v>260</v>
      </c>
      <c r="C9" s="8" t="s">
        <v>83</v>
      </c>
    </row>
    <row r="10" spans="1:3" ht="16.5" x14ac:dyDescent="0.25">
      <c r="A10">
        <v>5</v>
      </c>
      <c r="B10" t="s">
        <v>261</v>
      </c>
      <c r="C10" s="8" t="s">
        <v>164</v>
      </c>
    </row>
    <row r="11" spans="1:3" ht="16.5" x14ac:dyDescent="0.25">
      <c r="A11">
        <v>6</v>
      </c>
      <c r="B11" t="s">
        <v>262</v>
      </c>
      <c r="C11" s="8" t="s">
        <v>164</v>
      </c>
    </row>
    <row r="12" spans="1:3" ht="16.5" x14ac:dyDescent="0.25">
      <c r="A12">
        <v>7</v>
      </c>
      <c r="B12" t="s">
        <v>263</v>
      </c>
      <c r="C12" s="8" t="s">
        <v>164</v>
      </c>
    </row>
    <row r="13" spans="1:3" ht="16.5" x14ac:dyDescent="0.25">
      <c r="A13">
        <v>8</v>
      </c>
      <c r="B13" t="s">
        <v>264</v>
      </c>
      <c r="C13" s="8" t="s">
        <v>164</v>
      </c>
    </row>
    <row r="14" spans="1:3" ht="16.5" x14ac:dyDescent="0.25">
      <c r="A14">
        <v>9</v>
      </c>
      <c r="B14" t="s">
        <v>265</v>
      </c>
      <c r="C14" s="8" t="s">
        <v>164</v>
      </c>
    </row>
    <row r="15" spans="1:3" ht="16.5" x14ac:dyDescent="0.25">
      <c r="A15">
        <v>10</v>
      </c>
      <c r="B15" t="s">
        <v>266</v>
      </c>
      <c r="C15" s="8" t="s">
        <v>83</v>
      </c>
    </row>
    <row r="16" spans="1:3" ht="16.5" x14ac:dyDescent="0.25">
      <c r="A16">
        <v>11</v>
      </c>
      <c r="B16" t="s">
        <v>267</v>
      </c>
      <c r="C16" s="8" t="s">
        <v>83</v>
      </c>
    </row>
    <row r="17" spans="1:3" ht="16.5" x14ac:dyDescent="0.25">
      <c r="A17">
        <v>12</v>
      </c>
      <c r="B17" t="s">
        <v>268</v>
      </c>
      <c r="C17" s="8" t="s">
        <v>83</v>
      </c>
    </row>
    <row r="18" spans="1:3" ht="16.5" x14ac:dyDescent="0.25">
      <c r="A18">
        <v>13</v>
      </c>
      <c r="B18" t="s">
        <v>269</v>
      </c>
      <c r="C18" s="8" t="s">
        <v>83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18" xr:uid="{8F82EE07-2B79-4CBD-8AB2-B2578DC4DC0D}">
      <formula1>"〇,✕"</formula1>
    </dataValidation>
  </dataValidations>
  <hyperlinks>
    <hyperlink ref="A1" r:id="rId1" xr:uid="{E1F0A5DC-77EA-44A9-A354-DEAA7D346BD6}"/>
    <hyperlink ref="A1:B1" r:id="rId2" display="攻略" xr:uid="{FF123107-BBB2-4CB6-B72E-3E654C340E63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6617-7A0B-48F3-9E73-F8480E1A08E9}">
  <dimension ref="A1:C43"/>
  <sheetViews>
    <sheetView workbookViewId="0">
      <selection activeCell="B19" sqref="B19"/>
    </sheetView>
  </sheetViews>
  <sheetFormatPr defaultRowHeight="14" x14ac:dyDescent="0.25"/>
  <cols>
    <col min="2" max="2" width="22.1796875" bestFit="1" customWidth="1"/>
    <col min="3" max="3" width="11.1796875" customWidth="1"/>
  </cols>
  <sheetData>
    <row r="1" spans="1:3" x14ac:dyDescent="0.25">
      <c r="A1" s="7" t="s">
        <v>136</v>
      </c>
      <c r="B1" s="7"/>
    </row>
    <row r="2" spans="1:3" x14ac:dyDescent="0.25">
      <c r="A2" s="2" t="s">
        <v>86</v>
      </c>
      <c r="B2">
        <f>COUNTIF(表4[完成情况],"〇")</f>
        <v>34</v>
      </c>
    </row>
    <row r="3" spans="1:3" x14ac:dyDescent="0.25">
      <c r="A3" s="2" t="s">
        <v>87</v>
      </c>
      <c r="B3">
        <f>COUNTIF(表4[完成情况],"✕")</f>
        <v>4</v>
      </c>
    </row>
    <row r="4" spans="1:3" x14ac:dyDescent="0.25">
      <c r="A4" s="2" t="s">
        <v>88</v>
      </c>
      <c r="B4" s="5">
        <f>B2/MAX(表4[编号])</f>
        <v>0.89473684210526316</v>
      </c>
    </row>
    <row r="5" spans="1:3" x14ac:dyDescent="0.25">
      <c r="A5" t="s">
        <v>2</v>
      </c>
      <c r="B5" t="s">
        <v>0</v>
      </c>
      <c r="C5" t="s">
        <v>1</v>
      </c>
    </row>
    <row r="6" spans="1:3" x14ac:dyDescent="0.25">
      <c r="A6">
        <v>1</v>
      </c>
      <c r="B6" t="s">
        <v>140</v>
      </c>
      <c r="C6" t="s">
        <v>83</v>
      </c>
    </row>
    <row r="7" spans="1:3" x14ac:dyDescent="0.25">
      <c r="A7">
        <v>2</v>
      </c>
      <c r="B7" s="1" t="s">
        <v>165</v>
      </c>
      <c r="C7" t="s">
        <v>83</v>
      </c>
    </row>
    <row r="8" spans="1:3" x14ac:dyDescent="0.25">
      <c r="A8">
        <v>3</v>
      </c>
      <c r="B8" t="s">
        <v>141</v>
      </c>
      <c r="C8" t="s">
        <v>83</v>
      </c>
    </row>
    <row r="9" spans="1:3" x14ac:dyDescent="0.25">
      <c r="A9">
        <v>4</v>
      </c>
      <c r="B9" t="s">
        <v>142</v>
      </c>
      <c r="C9" t="s">
        <v>83</v>
      </c>
    </row>
    <row r="10" spans="1:3" ht="16.5" x14ac:dyDescent="0.25">
      <c r="A10">
        <v>5</v>
      </c>
      <c r="B10" t="s">
        <v>143</v>
      </c>
      <c r="C10" s="8" t="s">
        <v>83</v>
      </c>
    </row>
    <row r="11" spans="1:3" x14ac:dyDescent="0.25">
      <c r="A11">
        <v>6</v>
      </c>
      <c r="B11" t="s">
        <v>144</v>
      </c>
      <c r="C11" t="s">
        <v>83</v>
      </c>
    </row>
    <row r="12" spans="1:3" x14ac:dyDescent="0.25">
      <c r="A12">
        <v>7</v>
      </c>
      <c r="B12" t="s">
        <v>145</v>
      </c>
      <c r="C12" t="s">
        <v>83</v>
      </c>
    </row>
    <row r="13" spans="1:3" x14ac:dyDescent="0.25">
      <c r="A13">
        <v>8</v>
      </c>
      <c r="B13" t="s">
        <v>146</v>
      </c>
      <c r="C13" t="s">
        <v>83</v>
      </c>
    </row>
    <row r="14" spans="1:3" x14ac:dyDescent="0.25">
      <c r="A14">
        <v>9</v>
      </c>
      <c r="B14" t="s">
        <v>147</v>
      </c>
      <c r="C14" t="s">
        <v>83</v>
      </c>
    </row>
    <row r="15" spans="1:3" x14ac:dyDescent="0.25">
      <c r="A15">
        <v>10</v>
      </c>
      <c r="B15" t="s">
        <v>148</v>
      </c>
      <c r="C15" t="s">
        <v>83</v>
      </c>
    </row>
    <row r="16" spans="1:3" x14ac:dyDescent="0.25">
      <c r="A16">
        <v>11</v>
      </c>
      <c r="B16" t="s">
        <v>149</v>
      </c>
      <c r="C16" t="s">
        <v>83</v>
      </c>
    </row>
    <row r="17" spans="1:3" x14ac:dyDescent="0.25">
      <c r="A17">
        <v>12</v>
      </c>
      <c r="B17" t="s">
        <v>150</v>
      </c>
      <c r="C17" t="s">
        <v>83</v>
      </c>
    </row>
    <row r="18" spans="1:3" x14ac:dyDescent="0.25">
      <c r="A18">
        <v>13</v>
      </c>
      <c r="B18" t="s">
        <v>151</v>
      </c>
      <c r="C18" t="s">
        <v>83</v>
      </c>
    </row>
    <row r="19" spans="1:3" x14ac:dyDescent="0.25">
      <c r="A19">
        <v>14</v>
      </c>
      <c r="B19" t="s">
        <v>152</v>
      </c>
      <c r="C19" t="s">
        <v>83</v>
      </c>
    </row>
    <row r="20" spans="1:3" x14ac:dyDescent="0.25">
      <c r="A20">
        <v>15</v>
      </c>
      <c r="B20" t="s">
        <v>153</v>
      </c>
      <c r="C20" t="s">
        <v>83</v>
      </c>
    </row>
    <row r="21" spans="1:3" ht="16.5" x14ac:dyDescent="0.25">
      <c r="A21">
        <v>16</v>
      </c>
      <c r="B21" t="s">
        <v>154</v>
      </c>
      <c r="C21" s="8" t="s">
        <v>164</v>
      </c>
    </row>
    <row r="22" spans="1:3" ht="16.5" x14ac:dyDescent="0.25">
      <c r="A22">
        <v>17</v>
      </c>
      <c r="B22" t="s">
        <v>155</v>
      </c>
      <c r="C22" s="8" t="s">
        <v>164</v>
      </c>
    </row>
    <row r="23" spans="1:3" ht="16.5" x14ac:dyDescent="0.25">
      <c r="A23">
        <v>18</v>
      </c>
      <c r="B23" t="s">
        <v>156</v>
      </c>
      <c r="C23" s="8" t="s">
        <v>164</v>
      </c>
    </row>
    <row r="24" spans="1:3" ht="16.5" x14ac:dyDescent="0.25">
      <c r="A24">
        <v>19</v>
      </c>
      <c r="B24" t="s">
        <v>157</v>
      </c>
      <c r="C24" s="8" t="s">
        <v>164</v>
      </c>
    </row>
    <row r="25" spans="1:3" x14ac:dyDescent="0.25">
      <c r="A25">
        <v>20</v>
      </c>
      <c r="B25" t="s">
        <v>51</v>
      </c>
      <c r="C25" t="s">
        <v>83</v>
      </c>
    </row>
    <row r="26" spans="1:3" x14ac:dyDescent="0.25">
      <c r="A26">
        <v>21</v>
      </c>
      <c r="B26" t="s">
        <v>52</v>
      </c>
      <c r="C26" t="s">
        <v>83</v>
      </c>
    </row>
    <row r="27" spans="1:3" x14ac:dyDescent="0.25">
      <c r="A27">
        <v>22</v>
      </c>
      <c r="B27" t="s">
        <v>53</v>
      </c>
      <c r="C27" t="s">
        <v>83</v>
      </c>
    </row>
    <row r="28" spans="1:3" x14ac:dyDescent="0.25">
      <c r="A28">
        <v>23</v>
      </c>
      <c r="B28" t="s">
        <v>158</v>
      </c>
      <c r="C28" t="s">
        <v>83</v>
      </c>
    </row>
    <row r="29" spans="1:3" x14ac:dyDescent="0.25">
      <c r="A29">
        <v>24</v>
      </c>
      <c r="B29" t="s">
        <v>159</v>
      </c>
      <c r="C29" t="s">
        <v>83</v>
      </c>
    </row>
    <row r="30" spans="1:3" x14ac:dyDescent="0.25">
      <c r="A30">
        <v>25</v>
      </c>
      <c r="B30" t="s">
        <v>57</v>
      </c>
      <c r="C30" t="s">
        <v>83</v>
      </c>
    </row>
    <row r="31" spans="1:3" x14ac:dyDescent="0.25">
      <c r="A31">
        <v>26</v>
      </c>
      <c r="B31" t="s">
        <v>58</v>
      </c>
      <c r="C31" t="s">
        <v>83</v>
      </c>
    </row>
    <row r="32" spans="1:3" x14ac:dyDescent="0.25">
      <c r="A32">
        <v>27</v>
      </c>
      <c r="B32" t="s">
        <v>160</v>
      </c>
      <c r="C32" t="s">
        <v>83</v>
      </c>
    </row>
    <row r="33" spans="1:3" x14ac:dyDescent="0.25">
      <c r="A33">
        <v>28</v>
      </c>
      <c r="B33" t="s">
        <v>161</v>
      </c>
      <c r="C33" t="s">
        <v>83</v>
      </c>
    </row>
    <row r="34" spans="1:3" x14ac:dyDescent="0.25">
      <c r="A34">
        <v>29</v>
      </c>
      <c r="B34" t="s">
        <v>162</v>
      </c>
      <c r="C34" t="s">
        <v>83</v>
      </c>
    </row>
    <row r="35" spans="1:3" x14ac:dyDescent="0.25">
      <c r="A35">
        <v>30</v>
      </c>
      <c r="B35" t="s">
        <v>163</v>
      </c>
      <c r="C35" t="s">
        <v>83</v>
      </c>
    </row>
    <row r="36" spans="1:3" x14ac:dyDescent="0.25">
      <c r="A36">
        <v>31</v>
      </c>
      <c r="B36" t="s">
        <v>68</v>
      </c>
      <c r="C36" t="s">
        <v>83</v>
      </c>
    </row>
    <row r="37" spans="1:3" x14ac:dyDescent="0.25">
      <c r="A37">
        <v>32</v>
      </c>
      <c r="B37" t="s">
        <v>69</v>
      </c>
      <c r="C37" t="s">
        <v>83</v>
      </c>
    </row>
    <row r="38" spans="1:3" x14ac:dyDescent="0.25">
      <c r="A38">
        <v>33</v>
      </c>
      <c r="B38" t="s">
        <v>70</v>
      </c>
      <c r="C38" t="s">
        <v>83</v>
      </c>
    </row>
    <row r="39" spans="1:3" x14ac:dyDescent="0.25">
      <c r="A39">
        <v>34</v>
      </c>
      <c r="B39" t="s">
        <v>71</v>
      </c>
      <c r="C39" t="s">
        <v>83</v>
      </c>
    </row>
    <row r="40" spans="1:3" x14ac:dyDescent="0.25">
      <c r="A40">
        <v>35</v>
      </c>
      <c r="B40" t="s">
        <v>72</v>
      </c>
      <c r="C40" t="s">
        <v>83</v>
      </c>
    </row>
    <row r="41" spans="1:3" x14ac:dyDescent="0.25">
      <c r="A41">
        <v>36</v>
      </c>
      <c r="B41" t="s">
        <v>73</v>
      </c>
      <c r="C41" t="s">
        <v>83</v>
      </c>
    </row>
    <row r="42" spans="1:3" x14ac:dyDescent="0.25">
      <c r="A42">
        <v>37</v>
      </c>
      <c r="B42" t="s">
        <v>76</v>
      </c>
      <c r="C42" t="s">
        <v>83</v>
      </c>
    </row>
    <row r="43" spans="1:3" x14ac:dyDescent="0.25">
      <c r="A43">
        <v>38</v>
      </c>
      <c r="B43" t="s">
        <v>77</v>
      </c>
      <c r="C43" t="s">
        <v>83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43" xr:uid="{AD8CF59C-9087-45C6-B0A9-4BB88CF777CF}">
      <formula1>"〇,✕"</formula1>
    </dataValidation>
  </dataValidations>
  <hyperlinks>
    <hyperlink ref="A1:B1" r:id="rId1" display="攻略" xr:uid="{C0551614-1183-4580-A1C8-C138C0DAAFDB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FF817-B8CC-43F0-AA0D-EC558128EEFC}">
  <dimension ref="A1:C72"/>
  <sheetViews>
    <sheetView topLeftCell="A25" workbookViewId="0">
      <selection activeCell="B40" sqref="B40"/>
    </sheetView>
  </sheetViews>
  <sheetFormatPr defaultRowHeight="14" x14ac:dyDescent="0.25"/>
  <cols>
    <col min="2" max="2" width="26.54296875" bestFit="1" customWidth="1"/>
    <col min="3" max="3" width="11.1796875" customWidth="1"/>
  </cols>
  <sheetData>
    <row r="1" spans="1:3" x14ac:dyDescent="0.25">
      <c r="A1" s="7" t="s">
        <v>89</v>
      </c>
      <c r="B1" s="7"/>
    </row>
    <row r="2" spans="1:3" x14ac:dyDescent="0.25">
      <c r="A2" s="2" t="s">
        <v>86</v>
      </c>
      <c r="B2">
        <f>COUNTIF(表5[完成情况],"〇")</f>
        <v>14</v>
      </c>
    </row>
    <row r="3" spans="1:3" x14ac:dyDescent="0.25">
      <c r="A3" s="2" t="s">
        <v>87</v>
      </c>
      <c r="B3">
        <f>COUNTIF(表5[完成情况],"✕")</f>
        <v>53</v>
      </c>
    </row>
    <row r="4" spans="1:3" x14ac:dyDescent="0.25">
      <c r="A4" s="2" t="s">
        <v>88</v>
      </c>
      <c r="B4" s="5">
        <f>B2/MAX(表6[编号])</f>
        <v>0.60869565217391308</v>
      </c>
    </row>
    <row r="5" spans="1:3" x14ac:dyDescent="0.25">
      <c r="A5" s="9" t="s">
        <v>2</v>
      </c>
      <c r="B5" s="10" t="s">
        <v>0</v>
      </c>
      <c r="C5" s="11" t="s">
        <v>1</v>
      </c>
    </row>
    <row r="6" spans="1:3" ht="16.5" x14ac:dyDescent="0.25">
      <c r="A6">
        <v>1</v>
      </c>
      <c r="B6" t="s">
        <v>166</v>
      </c>
      <c r="C6" s="8" t="s">
        <v>83</v>
      </c>
    </row>
    <row r="7" spans="1:3" ht="16.5" x14ac:dyDescent="0.25">
      <c r="A7">
        <v>2</v>
      </c>
      <c r="B7" t="s">
        <v>167</v>
      </c>
      <c r="C7" s="8" t="s">
        <v>83</v>
      </c>
    </row>
    <row r="8" spans="1:3" ht="16.5" x14ac:dyDescent="0.25">
      <c r="A8">
        <v>3</v>
      </c>
      <c r="B8" t="s">
        <v>168</v>
      </c>
      <c r="C8" s="8" t="s">
        <v>164</v>
      </c>
    </row>
    <row r="9" spans="1:3" ht="16.5" x14ac:dyDescent="0.25">
      <c r="A9">
        <v>4</v>
      </c>
      <c r="B9" t="s">
        <v>169</v>
      </c>
      <c r="C9" s="8" t="s">
        <v>164</v>
      </c>
    </row>
    <row r="10" spans="1:3" ht="16.5" x14ac:dyDescent="0.25">
      <c r="A10">
        <v>5</v>
      </c>
      <c r="B10" t="s">
        <v>170</v>
      </c>
      <c r="C10" s="8" t="s">
        <v>164</v>
      </c>
    </row>
    <row r="11" spans="1:3" ht="16.5" x14ac:dyDescent="0.25">
      <c r="A11">
        <v>6</v>
      </c>
      <c r="B11" t="s">
        <v>171</v>
      </c>
      <c r="C11" s="8" t="s">
        <v>164</v>
      </c>
    </row>
    <row r="12" spans="1:3" ht="16.5" x14ac:dyDescent="0.25">
      <c r="A12">
        <v>7</v>
      </c>
      <c r="B12" t="s">
        <v>172</v>
      </c>
      <c r="C12" s="8" t="s">
        <v>164</v>
      </c>
    </row>
    <row r="13" spans="1:3" ht="16.5" x14ac:dyDescent="0.25">
      <c r="A13">
        <v>8</v>
      </c>
      <c r="B13" t="s">
        <v>173</v>
      </c>
      <c r="C13" s="8" t="s">
        <v>164</v>
      </c>
    </row>
    <row r="14" spans="1:3" ht="16.5" x14ac:dyDescent="0.25">
      <c r="A14">
        <v>9</v>
      </c>
      <c r="B14" t="s">
        <v>174</v>
      </c>
      <c r="C14" s="8" t="s">
        <v>164</v>
      </c>
    </row>
    <row r="15" spans="1:3" ht="16.5" x14ac:dyDescent="0.25">
      <c r="A15">
        <v>10</v>
      </c>
      <c r="B15" t="s">
        <v>175</v>
      </c>
      <c r="C15" s="8" t="s">
        <v>164</v>
      </c>
    </row>
    <row r="16" spans="1:3" ht="16.5" x14ac:dyDescent="0.25">
      <c r="A16">
        <v>11</v>
      </c>
      <c r="B16" t="s">
        <v>176</v>
      </c>
      <c r="C16" s="8" t="s">
        <v>164</v>
      </c>
    </row>
    <row r="17" spans="1:3" ht="16.5" x14ac:dyDescent="0.25">
      <c r="A17">
        <v>12</v>
      </c>
      <c r="B17" t="s">
        <v>177</v>
      </c>
      <c r="C17" s="8" t="s">
        <v>164</v>
      </c>
    </row>
    <row r="18" spans="1:3" ht="16.5" x14ac:dyDescent="0.25">
      <c r="A18">
        <v>13</v>
      </c>
      <c r="B18" t="s">
        <v>178</v>
      </c>
      <c r="C18" s="8" t="s">
        <v>164</v>
      </c>
    </row>
    <row r="19" spans="1:3" ht="16.5" x14ac:dyDescent="0.25">
      <c r="A19">
        <v>14</v>
      </c>
      <c r="B19" t="s">
        <v>179</v>
      </c>
      <c r="C19" s="8" t="s">
        <v>164</v>
      </c>
    </row>
    <row r="20" spans="1:3" ht="16.5" x14ac:dyDescent="0.25">
      <c r="A20">
        <v>15</v>
      </c>
      <c r="B20" t="s">
        <v>180</v>
      </c>
      <c r="C20" s="8" t="s">
        <v>164</v>
      </c>
    </row>
    <row r="21" spans="1:3" ht="16.5" x14ac:dyDescent="0.25">
      <c r="A21">
        <v>16</v>
      </c>
      <c r="B21" t="s">
        <v>181</v>
      </c>
      <c r="C21" s="8" t="s">
        <v>164</v>
      </c>
    </row>
    <row r="22" spans="1:3" ht="16.5" x14ac:dyDescent="0.25">
      <c r="A22">
        <v>17</v>
      </c>
      <c r="B22" t="s">
        <v>182</v>
      </c>
      <c r="C22" s="8" t="s">
        <v>164</v>
      </c>
    </row>
    <row r="23" spans="1:3" ht="16.5" x14ac:dyDescent="0.25">
      <c r="A23">
        <v>18</v>
      </c>
      <c r="B23" t="s">
        <v>183</v>
      </c>
      <c r="C23" s="8" t="s">
        <v>164</v>
      </c>
    </row>
    <row r="24" spans="1:3" ht="16.5" x14ac:dyDescent="0.25">
      <c r="A24">
        <v>19</v>
      </c>
      <c r="B24" t="s">
        <v>184</v>
      </c>
      <c r="C24" s="8" t="s">
        <v>164</v>
      </c>
    </row>
    <row r="25" spans="1:3" ht="16.5" x14ac:dyDescent="0.25">
      <c r="A25">
        <v>20</v>
      </c>
      <c r="B25" t="s">
        <v>185</v>
      </c>
      <c r="C25" s="8" t="s">
        <v>164</v>
      </c>
    </row>
    <row r="26" spans="1:3" ht="16.5" x14ac:dyDescent="0.25">
      <c r="A26">
        <v>21</v>
      </c>
      <c r="B26" t="s">
        <v>186</v>
      </c>
      <c r="C26" s="8" t="s">
        <v>164</v>
      </c>
    </row>
    <row r="27" spans="1:3" ht="16.5" x14ac:dyDescent="0.25">
      <c r="A27">
        <v>22</v>
      </c>
      <c r="B27" t="s">
        <v>187</v>
      </c>
      <c r="C27" s="8" t="s">
        <v>164</v>
      </c>
    </row>
    <row r="28" spans="1:3" ht="16.5" x14ac:dyDescent="0.25">
      <c r="A28">
        <v>23</v>
      </c>
      <c r="B28" t="s">
        <v>188</v>
      </c>
      <c r="C28" s="8" t="s">
        <v>164</v>
      </c>
    </row>
    <row r="29" spans="1:3" ht="16.5" x14ac:dyDescent="0.25">
      <c r="A29">
        <v>24</v>
      </c>
      <c r="B29" t="s">
        <v>189</v>
      </c>
      <c r="C29" s="8" t="s">
        <v>164</v>
      </c>
    </row>
    <row r="30" spans="1:3" ht="16.5" x14ac:dyDescent="0.25">
      <c r="A30">
        <v>25</v>
      </c>
      <c r="B30" t="s">
        <v>190</v>
      </c>
      <c r="C30" s="8" t="s">
        <v>164</v>
      </c>
    </row>
    <row r="31" spans="1:3" ht="16.5" x14ac:dyDescent="0.25">
      <c r="A31">
        <v>26</v>
      </c>
      <c r="B31" t="s">
        <v>191</v>
      </c>
      <c r="C31" s="8" t="s">
        <v>164</v>
      </c>
    </row>
    <row r="32" spans="1:3" ht="16.5" x14ac:dyDescent="0.25">
      <c r="A32">
        <v>27</v>
      </c>
      <c r="B32" t="s">
        <v>192</v>
      </c>
      <c r="C32" s="8" t="s">
        <v>164</v>
      </c>
    </row>
    <row r="33" spans="1:3" ht="16.5" x14ac:dyDescent="0.25">
      <c r="A33">
        <v>28</v>
      </c>
      <c r="B33" t="s">
        <v>193</v>
      </c>
      <c r="C33" s="8" t="s">
        <v>164</v>
      </c>
    </row>
    <row r="34" spans="1:3" ht="16.5" x14ac:dyDescent="0.25">
      <c r="A34">
        <v>29</v>
      </c>
      <c r="B34" t="s">
        <v>194</v>
      </c>
      <c r="C34" s="8" t="s">
        <v>164</v>
      </c>
    </row>
    <row r="35" spans="1:3" ht="16.5" x14ac:dyDescent="0.25">
      <c r="A35">
        <v>30</v>
      </c>
      <c r="B35" t="s">
        <v>195</v>
      </c>
      <c r="C35" s="8" t="s">
        <v>164</v>
      </c>
    </row>
    <row r="36" spans="1:3" ht="16.5" x14ac:dyDescent="0.25">
      <c r="A36">
        <v>31</v>
      </c>
      <c r="B36" t="s">
        <v>196</v>
      </c>
      <c r="C36" s="8" t="s">
        <v>164</v>
      </c>
    </row>
    <row r="37" spans="1:3" ht="16.5" x14ac:dyDescent="0.25">
      <c r="A37">
        <v>32</v>
      </c>
      <c r="B37" t="s">
        <v>197</v>
      </c>
      <c r="C37" s="8" t="s">
        <v>164</v>
      </c>
    </row>
    <row r="38" spans="1:3" ht="16.5" x14ac:dyDescent="0.25">
      <c r="A38">
        <v>33</v>
      </c>
      <c r="B38" t="s">
        <v>198</v>
      </c>
      <c r="C38" s="8" t="s">
        <v>164</v>
      </c>
    </row>
    <row r="39" spans="1:3" ht="16.5" x14ac:dyDescent="0.25">
      <c r="A39">
        <v>34</v>
      </c>
      <c r="B39" t="s">
        <v>199</v>
      </c>
      <c r="C39" s="8" t="s">
        <v>164</v>
      </c>
    </row>
    <row r="40" spans="1:3" ht="16.5" x14ac:dyDescent="0.25">
      <c r="A40">
        <v>35</v>
      </c>
      <c r="B40" t="s">
        <v>200</v>
      </c>
      <c r="C40" s="8" t="s">
        <v>164</v>
      </c>
    </row>
    <row r="41" spans="1:3" ht="16.5" x14ac:dyDescent="0.25">
      <c r="A41">
        <v>36</v>
      </c>
      <c r="B41" t="s">
        <v>201</v>
      </c>
      <c r="C41" s="8" t="s">
        <v>164</v>
      </c>
    </row>
    <row r="42" spans="1:3" ht="16.5" x14ac:dyDescent="0.25">
      <c r="A42">
        <v>37</v>
      </c>
      <c r="B42" t="s">
        <v>202</v>
      </c>
      <c r="C42" s="8" t="s">
        <v>164</v>
      </c>
    </row>
    <row r="43" spans="1:3" ht="16.5" x14ac:dyDescent="0.25">
      <c r="A43">
        <v>38</v>
      </c>
      <c r="B43" t="s">
        <v>203</v>
      </c>
      <c r="C43" s="8" t="s">
        <v>164</v>
      </c>
    </row>
    <row r="44" spans="1:3" ht="16.5" x14ac:dyDescent="0.25">
      <c r="A44">
        <v>39</v>
      </c>
      <c r="B44" t="s">
        <v>204</v>
      </c>
      <c r="C44" s="8" t="s">
        <v>164</v>
      </c>
    </row>
    <row r="45" spans="1:3" ht="16.5" x14ac:dyDescent="0.25">
      <c r="A45">
        <v>40</v>
      </c>
      <c r="B45" t="s">
        <v>205</v>
      </c>
      <c r="C45" s="8" t="s">
        <v>164</v>
      </c>
    </row>
    <row r="46" spans="1:3" ht="16.5" x14ac:dyDescent="0.25">
      <c r="A46">
        <v>41</v>
      </c>
      <c r="B46" t="s">
        <v>206</v>
      </c>
      <c r="C46" s="8" t="s">
        <v>164</v>
      </c>
    </row>
    <row r="47" spans="1:3" ht="16.5" x14ac:dyDescent="0.25">
      <c r="A47">
        <v>42</v>
      </c>
      <c r="B47" t="s">
        <v>207</v>
      </c>
      <c r="C47" s="8" t="s">
        <v>164</v>
      </c>
    </row>
    <row r="48" spans="1:3" ht="16.5" x14ac:dyDescent="0.25">
      <c r="A48">
        <v>43</v>
      </c>
      <c r="B48" t="s">
        <v>208</v>
      </c>
      <c r="C48" s="8" t="s">
        <v>164</v>
      </c>
    </row>
    <row r="49" spans="1:3" ht="16.5" x14ac:dyDescent="0.25">
      <c r="A49">
        <v>44</v>
      </c>
      <c r="B49" t="s">
        <v>209</v>
      </c>
      <c r="C49" s="8" t="s">
        <v>83</v>
      </c>
    </row>
    <row r="50" spans="1:3" ht="16.5" x14ac:dyDescent="0.25">
      <c r="A50">
        <v>45</v>
      </c>
      <c r="B50" t="s">
        <v>210</v>
      </c>
      <c r="C50" s="8" t="s">
        <v>83</v>
      </c>
    </row>
    <row r="51" spans="1:3" ht="16.5" x14ac:dyDescent="0.25">
      <c r="A51">
        <v>46</v>
      </c>
      <c r="B51" t="s">
        <v>211</v>
      </c>
      <c r="C51" s="8" t="s">
        <v>83</v>
      </c>
    </row>
    <row r="52" spans="1:3" ht="16.5" x14ac:dyDescent="0.25">
      <c r="A52">
        <v>47</v>
      </c>
      <c r="B52" t="s">
        <v>212</v>
      </c>
      <c r="C52" s="8" t="s">
        <v>83</v>
      </c>
    </row>
    <row r="53" spans="1:3" ht="16.5" x14ac:dyDescent="0.25">
      <c r="A53">
        <v>48</v>
      </c>
      <c r="B53" t="s">
        <v>213</v>
      </c>
      <c r="C53" s="8" t="s">
        <v>83</v>
      </c>
    </row>
    <row r="54" spans="1:3" ht="16.5" x14ac:dyDescent="0.25">
      <c r="A54">
        <v>49</v>
      </c>
      <c r="B54" t="s">
        <v>214</v>
      </c>
      <c r="C54" s="8" t="s">
        <v>83</v>
      </c>
    </row>
    <row r="55" spans="1:3" ht="16.5" x14ac:dyDescent="0.25">
      <c r="A55">
        <v>50</v>
      </c>
      <c r="B55" t="s">
        <v>215</v>
      </c>
      <c r="C55" s="8" t="s">
        <v>83</v>
      </c>
    </row>
    <row r="56" spans="1:3" ht="16.5" x14ac:dyDescent="0.25">
      <c r="A56">
        <v>51</v>
      </c>
      <c r="B56" t="s">
        <v>216</v>
      </c>
      <c r="C56" s="8" t="s">
        <v>83</v>
      </c>
    </row>
    <row r="57" spans="1:3" ht="16.5" x14ac:dyDescent="0.25">
      <c r="A57">
        <v>52</v>
      </c>
      <c r="B57" t="s">
        <v>217</v>
      </c>
      <c r="C57" s="8" t="s">
        <v>83</v>
      </c>
    </row>
    <row r="58" spans="1:3" ht="16.5" x14ac:dyDescent="0.25">
      <c r="A58">
        <v>53</v>
      </c>
      <c r="B58" t="s">
        <v>218</v>
      </c>
      <c r="C58" s="8" t="s">
        <v>164</v>
      </c>
    </row>
    <row r="59" spans="1:3" ht="16.5" x14ac:dyDescent="0.25">
      <c r="A59">
        <v>54</v>
      </c>
      <c r="B59" t="s">
        <v>219</v>
      </c>
      <c r="C59" s="8" t="s">
        <v>83</v>
      </c>
    </row>
    <row r="60" spans="1:3" ht="16.5" x14ac:dyDescent="0.25">
      <c r="A60">
        <v>55</v>
      </c>
      <c r="B60" t="s">
        <v>220</v>
      </c>
      <c r="C60" s="8" t="s">
        <v>83</v>
      </c>
    </row>
    <row r="61" spans="1:3" ht="16.5" x14ac:dyDescent="0.25">
      <c r="A61">
        <v>56</v>
      </c>
      <c r="B61" t="s">
        <v>221</v>
      </c>
      <c r="C61" s="8" t="s">
        <v>83</v>
      </c>
    </row>
    <row r="62" spans="1:3" ht="16.5" x14ac:dyDescent="0.25">
      <c r="A62">
        <v>57</v>
      </c>
      <c r="B62" t="s">
        <v>222</v>
      </c>
      <c r="C62" s="8" t="s">
        <v>164</v>
      </c>
    </row>
    <row r="63" spans="1:3" ht="16.5" x14ac:dyDescent="0.25">
      <c r="A63">
        <v>58</v>
      </c>
      <c r="B63" t="s">
        <v>223</v>
      </c>
      <c r="C63" s="8" t="s">
        <v>164</v>
      </c>
    </row>
    <row r="64" spans="1:3" ht="16.5" x14ac:dyDescent="0.25">
      <c r="A64">
        <v>59</v>
      </c>
      <c r="B64" t="s">
        <v>224</v>
      </c>
      <c r="C64" s="8" t="s">
        <v>164</v>
      </c>
    </row>
    <row r="65" spans="1:3" ht="16.5" x14ac:dyDescent="0.25">
      <c r="A65">
        <v>60</v>
      </c>
      <c r="B65" t="s">
        <v>225</v>
      </c>
      <c r="C65" s="8" t="s">
        <v>164</v>
      </c>
    </row>
    <row r="66" spans="1:3" ht="16.5" x14ac:dyDescent="0.25">
      <c r="A66">
        <v>61</v>
      </c>
      <c r="B66" t="s">
        <v>226</v>
      </c>
      <c r="C66" s="8" t="s">
        <v>164</v>
      </c>
    </row>
    <row r="67" spans="1:3" ht="16.5" x14ac:dyDescent="0.25">
      <c r="A67">
        <v>62</v>
      </c>
      <c r="B67" t="s">
        <v>227</v>
      </c>
      <c r="C67" s="8" t="s">
        <v>164</v>
      </c>
    </row>
    <row r="68" spans="1:3" ht="16.5" x14ac:dyDescent="0.25">
      <c r="A68">
        <v>63</v>
      </c>
      <c r="B68" t="s">
        <v>228</v>
      </c>
      <c r="C68" s="8" t="s">
        <v>164</v>
      </c>
    </row>
    <row r="69" spans="1:3" ht="16.5" x14ac:dyDescent="0.25">
      <c r="A69">
        <v>64</v>
      </c>
      <c r="B69" t="s">
        <v>229</v>
      </c>
      <c r="C69" s="8" t="s">
        <v>164</v>
      </c>
    </row>
    <row r="70" spans="1:3" ht="16.5" x14ac:dyDescent="0.25">
      <c r="A70">
        <v>65</v>
      </c>
      <c r="B70" t="s">
        <v>230</v>
      </c>
      <c r="C70" s="8" t="s">
        <v>164</v>
      </c>
    </row>
    <row r="71" spans="1:3" ht="16.5" x14ac:dyDescent="0.25">
      <c r="A71">
        <v>66</v>
      </c>
      <c r="B71" t="s">
        <v>231</v>
      </c>
      <c r="C71" s="8" t="s">
        <v>164</v>
      </c>
    </row>
    <row r="72" spans="1:3" ht="16.5" x14ac:dyDescent="0.25">
      <c r="A72">
        <v>67</v>
      </c>
      <c r="B72" t="s">
        <v>232</v>
      </c>
      <c r="C72" s="8" t="s">
        <v>164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72" xr:uid="{492C0CB6-5F82-4BC3-B174-0196D5440C7A}">
      <formula1>"〇,✕"</formula1>
    </dataValidation>
  </dataValidations>
  <hyperlinks>
    <hyperlink ref="A1" r:id="rId1" xr:uid="{09D697A3-57E0-4DE4-85C7-FC61982EB83F}"/>
    <hyperlink ref="A1:B1" r:id="rId2" display="攻略" xr:uid="{0E5EB058-2E1D-498B-ACAF-685F7C0489D8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A1D58-364F-4431-9712-DD6B45DF1402}">
  <dimension ref="A1:C28"/>
  <sheetViews>
    <sheetView tabSelected="1" workbookViewId="0">
      <selection activeCell="C11" sqref="C11"/>
    </sheetView>
  </sheetViews>
  <sheetFormatPr defaultRowHeight="14" x14ac:dyDescent="0.25"/>
  <cols>
    <col min="2" max="2" width="22.1796875" bestFit="1" customWidth="1"/>
    <col min="3" max="3" width="11.90625" bestFit="1" customWidth="1"/>
  </cols>
  <sheetData>
    <row r="1" spans="1:3" x14ac:dyDescent="0.25">
      <c r="A1" s="7" t="s">
        <v>89</v>
      </c>
      <c r="B1" s="7"/>
    </row>
    <row r="2" spans="1:3" x14ac:dyDescent="0.25">
      <c r="A2" s="2" t="s">
        <v>86</v>
      </c>
      <c r="B2">
        <f>COUNTIF(表6[完成情况],"〇")</f>
        <v>11</v>
      </c>
    </row>
    <row r="3" spans="1:3" x14ac:dyDescent="0.25">
      <c r="A3" s="2" t="s">
        <v>87</v>
      </c>
      <c r="B3">
        <f>COUNTIF(表6[完成情况],"✕")</f>
        <v>12</v>
      </c>
    </row>
    <row r="4" spans="1:3" x14ac:dyDescent="0.25">
      <c r="A4" s="2" t="s">
        <v>88</v>
      </c>
      <c r="B4" s="5">
        <f>B2/MAX(表6[编号])</f>
        <v>0.47826086956521741</v>
      </c>
    </row>
    <row r="5" spans="1:3" x14ac:dyDescent="0.25">
      <c r="A5" t="s">
        <v>2</v>
      </c>
      <c r="B5" t="s">
        <v>256</v>
      </c>
      <c r="C5" t="s">
        <v>1</v>
      </c>
    </row>
    <row r="6" spans="1:3" ht="16.5" x14ac:dyDescent="0.25">
      <c r="A6">
        <v>1</v>
      </c>
      <c r="B6" t="s">
        <v>233</v>
      </c>
      <c r="C6" s="8" t="s">
        <v>83</v>
      </c>
    </row>
    <row r="7" spans="1:3" ht="16.5" x14ac:dyDescent="0.25">
      <c r="A7">
        <v>2</v>
      </c>
      <c r="B7" t="s">
        <v>234</v>
      </c>
      <c r="C7" s="8" t="s">
        <v>83</v>
      </c>
    </row>
    <row r="8" spans="1:3" ht="16.5" x14ac:dyDescent="0.25">
      <c r="A8">
        <v>3</v>
      </c>
      <c r="B8" t="s">
        <v>235</v>
      </c>
      <c r="C8" s="8" t="s">
        <v>83</v>
      </c>
    </row>
    <row r="9" spans="1:3" ht="16.5" x14ac:dyDescent="0.25">
      <c r="A9">
        <v>4</v>
      </c>
      <c r="B9" t="s">
        <v>236</v>
      </c>
      <c r="C9" s="8" t="s">
        <v>83</v>
      </c>
    </row>
    <row r="10" spans="1:3" ht="16.5" x14ac:dyDescent="0.25">
      <c r="A10">
        <v>5</v>
      </c>
      <c r="B10" t="s">
        <v>237</v>
      </c>
      <c r="C10" s="8" t="s">
        <v>83</v>
      </c>
    </row>
    <row r="11" spans="1:3" ht="16.5" x14ac:dyDescent="0.25">
      <c r="A11">
        <v>6</v>
      </c>
      <c r="B11" t="s">
        <v>238</v>
      </c>
      <c r="C11" s="8" t="s">
        <v>164</v>
      </c>
    </row>
    <row r="12" spans="1:3" ht="16.5" x14ac:dyDescent="0.25">
      <c r="A12">
        <v>7</v>
      </c>
      <c r="B12" t="s">
        <v>239</v>
      </c>
      <c r="C12" s="8" t="s">
        <v>164</v>
      </c>
    </row>
    <row r="13" spans="1:3" ht="16.5" x14ac:dyDescent="0.25">
      <c r="A13">
        <v>8</v>
      </c>
      <c r="B13" t="s">
        <v>240</v>
      </c>
      <c r="C13" s="8" t="s">
        <v>164</v>
      </c>
    </row>
    <row r="14" spans="1:3" ht="16.5" x14ac:dyDescent="0.25">
      <c r="A14">
        <v>9</v>
      </c>
      <c r="B14" t="s">
        <v>241</v>
      </c>
      <c r="C14" s="8" t="s">
        <v>164</v>
      </c>
    </row>
    <row r="15" spans="1:3" ht="16.5" x14ac:dyDescent="0.25">
      <c r="A15">
        <v>10</v>
      </c>
      <c r="B15" t="s">
        <v>242</v>
      </c>
      <c r="C15" s="8" t="s">
        <v>164</v>
      </c>
    </row>
    <row r="16" spans="1:3" ht="16.5" x14ac:dyDescent="0.25">
      <c r="A16">
        <v>11</v>
      </c>
      <c r="B16" t="s">
        <v>243</v>
      </c>
      <c r="C16" s="8" t="s">
        <v>164</v>
      </c>
    </row>
    <row r="17" spans="1:3" ht="16.5" x14ac:dyDescent="0.25">
      <c r="A17">
        <v>12</v>
      </c>
      <c r="B17" t="s">
        <v>244</v>
      </c>
      <c r="C17" s="8" t="s">
        <v>83</v>
      </c>
    </row>
    <row r="18" spans="1:3" ht="16.5" x14ac:dyDescent="0.25">
      <c r="A18">
        <v>13</v>
      </c>
      <c r="B18" t="s">
        <v>245</v>
      </c>
      <c r="C18" s="8" t="s">
        <v>83</v>
      </c>
    </row>
    <row r="19" spans="1:3" ht="16.5" x14ac:dyDescent="0.25">
      <c r="A19">
        <v>14</v>
      </c>
      <c r="B19" t="s">
        <v>246</v>
      </c>
      <c r="C19" s="8" t="s">
        <v>83</v>
      </c>
    </row>
    <row r="20" spans="1:3" ht="16.5" x14ac:dyDescent="0.25">
      <c r="A20">
        <v>15</v>
      </c>
      <c r="B20" t="s">
        <v>247</v>
      </c>
      <c r="C20" s="8" t="s">
        <v>83</v>
      </c>
    </row>
    <row r="21" spans="1:3" ht="16.5" x14ac:dyDescent="0.25">
      <c r="A21">
        <v>16</v>
      </c>
      <c r="B21" t="s">
        <v>248</v>
      </c>
      <c r="C21" s="8" t="s">
        <v>164</v>
      </c>
    </row>
    <row r="22" spans="1:3" ht="16.5" x14ac:dyDescent="0.25">
      <c r="A22">
        <v>17</v>
      </c>
      <c r="B22" t="s">
        <v>249</v>
      </c>
      <c r="C22" s="8" t="s">
        <v>164</v>
      </c>
    </row>
    <row r="23" spans="1:3" ht="16.5" x14ac:dyDescent="0.25">
      <c r="A23">
        <v>18</v>
      </c>
      <c r="B23" t="s">
        <v>250</v>
      </c>
      <c r="C23" s="8" t="s">
        <v>164</v>
      </c>
    </row>
    <row r="24" spans="1:3" ht="16.5" x14ac:dyDescent="0.25">
      <c r="A24">
        <v>19</v>
      </c>
      <c r="B24" t="s">
        <v>251</v>
      </c>
      <c r="C24" s="8" t="s">
        <v>164</v>
      </c>
    </row>
    <row r="25" spans="1:3" ht="16.5" x14ac:dyDescent="0.25">
      <c r="A25">
        <v>20</v>
      </c>
      <c r="B25" t="s">
        <v>252</v>
      </c>
      <c r="C25" s="8" t="s">
        <v>164</v>
      </c>
    </row>
    <row r="26" spans="1:3" ht="16.5" x14ac:dyDescent="0.25">
      <c r="A26">
        <v>21</v>
      </c>
      <c r="B26" t="s">
        <v>253</v>
      </c>
      <c r="C26" s="8" t="s">
        <v>164</v>
      </c>
    </row>
    <row r="27" spans="1:3" ht="16.5" x14ac:dyDescent="0.25">
      <c r="A27">
        <v>22</v>
      </c>
      <c r="B27" t="s">
        <v>254</v>
      </c>
      <c r="C27" s="8" t="s">
        <v>83</v>
      </c>
    </row>
    <row r="28" spans="1:3" ht="16.5" x14ac:dyDescent="0.25">
      <c r="A28">
        <v>23</v>
      </c>
      <c r="B28" t="s">
        <v>255</v>
      </c>
      <c r="C28" s="8" t="s">
        <v>83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C6:C28" xr:uid="{83FBBE23-C534-4960-A04A-3DE16FEF482A}">
      <formula1>"〇,✕"</formula1>
    </dataValidation>
  </dataValidations>
  <hyperlinks>
    <hyperlink ref="A1" r:id="rId1" xr:uid="{B4E6C436-7EE1-45A9-B424-E12DB7F3565D}"/>
    <hyperlink ref="A1:B1" r:id="rId2" display="攻略" xr:uid="{4AB8AD46-5D39-452B-B797-2006FB45C57D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F028-4B34-4A47-820E-EAFD53101BCD}">
  <dimension ref="A1:B48"/>
  <sheetViews>
    <sheetView workbookViewId="0">
      <selection activeCell="B3" sqref="B3"/>
    </sheetView>
  </sheetViews>
  <sheetFormatPr defaultRowHeight="14" x14ac:dyDescent="0.25"/>
  <cols>
    <col min="1" max="1" width="17.90625" bestFit="1" customWidth="1"/>
    <col min="2" max="2" width="11.90625" bestFit="1" customWidth="1"/>
  </cols>
  <sheetData>
    <row r="1" spans="1:2" x14ac:dyDescent="0.25">
      <c r="A1" s="7" t="s">
        <v>136</v>
      </c>
      <c r="B1" s="7"/>
    </row>
    <row r="2" spans="1:2" x14ac:dyDescent="0.25">
      <c r="A2" t="s">
        <v>90</v>
      </c>
      <c r="B2" t="s">
        <v>91</v>
      </c>
    </row>
    <row r="3" spans="1:2" x14ac:dyDescent="0.25">
      <c r="A3" s="1" t="s">
        <v>137</v>
      </c>
      <c r="B3" t="s">
        <v>83</v>
      </c>
    </row>
    <row r="4" spans="1:2" x14ac:dyDescent="0.25">
      <c r="A4" t="s">
        <v>92</v>
      </c>
      <c r="B4" t="s">
        <v>83</v>
      </c>
    </row>
    <row r="5" spans="1:2" hidden="1" x14ac:dyDescent="0.25">
      <c r="A5" t="s">
        <v>93</v>
      </c>
      <c r="B5" t="s">
        <v>83</v>
      </c>
    </row>
    <row r="6" spans="1:2" hidden="1" x14ac:dyDescent="0.25">
      <c r="A6" t="s">
        <v>94</v>
      </c>
      <c r="B6" t="s">
        <v>83</v>
      </c>
    </row>
    <row r="7" spans="1:2" x14ac:dyDescent="0.25">
      <c r="A7" t="s">
        <v>95</v>
      </c>
      <c r="B7" t="s">
        <v>83</v>
      </c>
    </row>
    <row r="8" spans="1:2" x14ac:dyDescent="0.25">
      <c r="A8" t="s">
        <v>96</v>
      </c>
      <c r="B8" t="s">
        <v>83</v>
      </c>
    </row>
    <row r="9" spans="1:2" x14ac:dyDescent="0.25">
      <c r="A9" t="s">
        <v>97</v>
      </c>
    </row>
    <row r="10" spans="1:2" hidden="1" x14ac:dyDescent="0.25">
      <c r="A10" t="s">
        <v>98</v>
      </c>
      <c r="B10" t="s">
        <v>83</v>
      </c>
    </row>
    <row r="11" spans="1:2" ht="16.5" x14ac:dyDescent="0.25">
      <c r="A11" s="1" t="s">
        <v>139</v>
      </c>
      <c r="B11" t="s">
        <v>83</v>
      </c>
    </row>
    <row r="12" spans="1:2" hidden="1" x14ac:dyDescent="0.25">
      <c r="A12" t="s">
        <v>99</v>
      </c>
      <c r="B12" t="s">
        <v>83</v>
      </c>
    </row>
    <row r="13" spans="1:2" hidden="1" x14ac:dyDescent="0.25">
      <c r="A13" t="s">
        <v>100</v>
      </c>
      <c r="B13" t="s">
        <v>83</v>
      </c>
    </row>
    <row r="14" spans="1:2" hidden="1" x14ac:dyDescent="0.25">
      <c r="A14" t="s">
        <v>101</v>
      </c>
      <c r="B14" t="s">
        <v>83</v>
      </c>
    </row>
    <row r="15" spans="1:2" hidden="1" x14ac:dyDescent="0.25">
      <c r="A15" t="s">
        <v>102</v>
      </c>
      <c r="B15" t="s">
        <v>83</v>
      </c>
    </row>
    <row r="16" spans="1:2" x14ac:dyDescent="0.25">
      <c r="A16" t="s">
        <v>103</v>
      </c>
      <c r="B16" t="s">
        <v>83</v>
      </c>
    </row>
    <row r="17" spans="1:2" x14ac:dyDescent="0.25">
      <c r="A17" t="s">
        <v>104</v>
      </c>
    </row>
    <row r="18" spans="1:2" hidden="1" x14ac:dyDescent="0.25">
      <c r="A18" t="s">
        <v>105</v>
      </c>
      <c r="B18" t="s">
        <v>83</v>
      </c>
    </row>
    <row r="19" spans="1:2" hidden="1" x14ac:dyDescent="0.25">
      <c r="A19" t="s">
        <v>106</v>
      </c>
      <c r="B19" t="s">
        <v>83</v>
      </c>
    </row>
    <row r="20" spans="1:2" x14ac:dyDescent="0.25">
      <c r="A20" t="s">
        <v>107</v>
      </c>
      <c r="B20" t="s">
        <v>83</v>
      </c>
    </row>
    <row r="21" spans="1:2" hidden="1" x14ac:dyDescent="0.25">
      <c r="A21" t="s">
        <v>108</v>
      </c>
      <c r="B21" t="s">
        <v>83</v>
      </c>
    </row>
    <row r="22" spans="1:2" hidden="1" x14ac:dyDescent="0.25">
      <c r="A22" t="s">
        <v>109</v>
      </c>
      <c r="B22" t="s">
        <v>83</v>
      </c>
    </row>
    <row r="23" spans="1:2" hidden="1" x14ac:dyDescent="0.25">
      <c r="A23" t="s">
        <v>110</v>
      </c>
      <c r="B23" t="s">
        <v>83</v>
      </c>
    </row>
    <row r="24" spans="1:2" hidden="1" x14ac:dyDescent="0.25">
      <c r="A24" t="s">
        <v>111</v>
      </c>
      <c r="B24" t="s">
        <v>83</v>
      </c>
    </row>
    <row r="25" spans="1:2" hidden="1" x14ac:dyDescent="0.25">
      <c r="A25" t="s">
        <v>112</v>
      </c>
      <c r="B25" t="s">
        <v>83</v>
      </c>
    </row>
    <row r="26" spans="1:2" hidden="1" x14ac:dyDescent="0.25">
      <c r="A26" s="1" t="s">
        <v>135</v>
      </c>
      <c r="B26" t="s">
        <v>83</v>
      </c>
    </row>
    <row r="27" spans="1:2" x14ac:dyDescent="0.25">
      <c r="A27" t="s">
        <v>113</v>
      </c>
    </row>
    <row r="28" spans="1:2" hidden="1" x14ac:dyDescent="0.25">
      <c r="A28" t="s">
        <v>114</v>
      </c>
      <c r="B28" t="s">
        <v>83</v>
      </c>
    </row>
    <row r="29" spans="1:2" hidden="1" x14ac:dyDescent="0.25">
      <c r="A29" t="s">
        <v>115</v>
      </c>
      <c r="B29" t="s">
        <v>83</v>
      </c>
    </row>
    <row r="30" spans="1:2" x14ac:dyDescent="0.25">
      <c r="A30" t="s">
        <v>116</v>
      </c>
      <c r="B30" t="s">
        <v>83</v>
      </c>
    </row>
    <row r="31" spans="1:2" hidden="1" x14ac:dyDescent="0.25">
      <c r="A31" t="s">
        <v>117</v>
      </c>
      <c r="B31" t="s">
        <v>83</v>
      </c>
    </row>
    <row r="32" spans="1:2" x14ac:dyDescent="0.25">
      <c r="A32" t="s">
        <v>118</v>
      </c>
    </row>
    <row r="33" spans="1:2" hidden="1" x14ac:dyDescent="0.25">
      <c r="A33" t="s">
        <v>119</v>
      </c>
      <c r="B33" t="s">
        <v>83</v>
      </c>
    </row>
    <row r="34" spans="1:2" x14ac:dyDescent="0.25">
      <c r="A34" t="s">
        <v>120</v>
      </c>
    </row>
    <row r="35" spans="1:2" hidden="1" x14ac:dyDescent="0.25">
      <c r="A35" t="s">
        <v>121</v>
      </c>
      <c r="B35" t="s">
        <v>83</v>
      </c>
    </row>
    <row r="36" spans="1:2" hidden="1" x14ac:dyDescent="0.25">
      <c r="A36" t="s">
        <v>122</v>
      </c>
      <c r="B36" t="s">
        <v>83</v>
      </c>
    </row>
    <row r="37" spans="1:2" hidden="1" x14ac:dyDescent="0.25">
      <c r="A37" t="s">
        <v>123</v>
      </c>
      <c r="B37" t="s">
        <v>83</v>
      </c>
    </row>
    <row r="38" spans="1:2" hidden="1" x14ac:dyDescent="0.25">
      <c r="A38" t="s">
        <v>124</v>
      </c>
      <c r="B38" t="s">
        <v>83</v>
      </c>
    </row>
    <row r="39" spans="1:2" hidden="1" x14ac:dyDescent="0.25">
      <c r="A39" t="s">
        <v>125</v>
      </c>
      <c r="B39" t="s">
        <v>83</v>
      </c>
    </row>
    <row r="40" spans="1:2" x14ac:dyDescent="0.25">
      <c r="A40" t="s">
        <v>126</v>
      </c>
    </row>
    <row r="41" spans="1:2" hidden="1" x14ac:dyDescent="0.25">
      <c r="A41" t="s">
        <v>127</v>
      </c>
      <c r="B41" t="s">
        <v>83</v>
      </c>
    </row>
    <row r="42" spans="1:2" x14ac:dyDescent="0.25">
      <c r="A42" t="s">
        <v>128</v>
      </c>
    </row>
    <row r="43" spans="1:2" x14ac:dyDescent="0.25">
      <c r="A43" t="s">
        <v>129</v>
      </c>
      <c r="B43" t="s">
        <v>83</v>
      </c>
    </row>
    <row r="44" spans="1:2" x14ac:dyDescent="0.25">
      <c r="A44" t="s">
        <v>130</v>
      </c>
    </row>
    <row r="45" spans="1:2" x14ac:dyDescent="0.25">
      <c r="A45" t="s">
        <v>131</v>
      </c>
    </row>
    <row r="46" spans="1:2" x14ac:dyDescent="0.25">
      <c r="A46" t="s">
        <v>132</v>
      </c>
      <c r="B46" t="s">
        <v>83</v>
      </c>
    </row>
    <row r="47" spans="1:2" hidden="1" x14ac:dyDescent="0.25">
      <c r="A47" t="s">
        <v>133</v>
      </c>
      <c r="B47" t="s">
        <v>83</v>
      </c>
    </row>
    <row r="48" spans="1:2" hidden="1" x14ac:dyDescent="0.25">
      <c r="A48" t="s">
        <v>134</v>
      </c>
      <c r="B48" t="s">
        <v>83</v>
      </c>
    </row>
  </sheetData>
  <mergeCells count="1">
    <mergeCell ref="A1:B1"/>
  </mergeCells>
  <phoneticPr fontId="7" type="noConversion"/>
  <dataValidations count="1">
    <dataValidation type="list" allowBlank="1" showInputMessage="1" showErrorMessage="1" sqref="B3:B48" xr:uid="{6A7B1B1C-394E-492D-8B5E-CDF04B020DEB}">
      <formula1>"〇,✕"</formula1>
    </dataValidation>
  </dataValidations>
  <hyperlinks>
    <hyperlink ref="A1:B1" r:id="rId1" display="攻略" xr:uid="{0D586C81-4B72-44A9-9DF0-F316F74BCB15}"/>
  </hyperlinks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コロニー9-任務</vt:lpstr>
      <vt:lpstr>テフラ洞窟-任務</vt:lpstr>
      <vt:lpstr>巨神脚-任務</vt:lpstr>
      <vt:lpstr>コロニー6-任務</vt:lpstr>
      <vt:lpstr>燐光の地ザトール-任務</vt:lpstr>
      <vt:lpstr>コロニー9-キズナ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唐湘陵</dc:creator>
  <cp:lastModifiedBy>唐湘陵</cp:lastModifiedBy>
  <dcterms:created xsi:type="dcterms:W3CDTF">2023-05-12T11:15:00Z</dcterms:created>
  <dcterms:modified xsi:type="dcterms:W3CDTF">2026-04-27T13:06:14Z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