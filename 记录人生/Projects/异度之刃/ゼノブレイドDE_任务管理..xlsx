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90" windowHeight="12800" firstSheet="14" activeTab="19"/>
  </bookViews>
  <sheets>
    <sheet name="ゼノブレイドDE_任务管理" sheetId="12" r:id="rId1"/>
    <sheet name="コロニー9-任務" sheetId="1" r:id="rId2"/>
    <sheet name="テフラ洞窟-任務" sheetId="8" r:id="rId3"/>
    <sheet name="巨神脚-任務" sheetId="5" r:id="rId4"/>
    <sheet name="コロニー6-任務" sheetId="6" r:id="rId5"/>
    <sheet name="燐光の地ザトール-任務" sheetId="7" r:id="rId6"/>
    <sheet name="マクナ原生林-任務" sheetId="10" r:id="rId7"/>
    <sheet name="サイハテ村-任務" sheetId="13" r:id="rId8"/>
    <sheet name="エルト海-任務" sheetId="14" r:id="rId9"/>
    <sheet name="皇都アカモート-任務" sheetId="9" r:id="rId10"/>
    <sheet name="ヴァラク雪山-任務" sheetId="15" r:id="rId11"/>
    <sheet name="大剣の渓谷-任務" sheetId="19" r:id="rId12"/>
    <sheet name="ガラハド要塞-任務" sheetId="18" r:id="rId13"/>
    <sheet name="落ちた腕-任務" sheetId="17" r:id="rId14"/>
    <sheet name="機神界フィールド-任務" sheetId="20" r:id="rId15"/>
    <sheet name="中央工廠-任務" sheetId="21" r:id="rId16"/>
    <sheet name="帝都アグニラータ-任務" sheetId="22" r:id="rId17"/>
    <sheet name="監獄島(2回目)-任務" sheetId="23" r:id="rId18"/>
    <sheet name="コロニー9-キズナ" sheetId="4" r:id="rId19"/>
    <sheet name="ユニックモンスター" sheetId="16" r:id="rId20"/>
  </sheets>
  <definedNames>
    <definedName name="ExternalData_1" localSheetId="0" hidden="1">ゼノブレイドDE_任务管理!$A$1:$A$18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ゼノブレイドDE_任务管理  xlsx" description="与工作簿中“ゼノブレイドDE_任务管理  xlsx”查询的连接。" type="5" background="1" refreshedVersion="2" saveData="1">
    <dbPr connection="Provider=Microsoft.Mashup.OleDb.1;Data Source=$Workbook$;Location=&quot;ゼノブレイドDE_任务管理  xlsx&quot;;Extended Properties=&quot;&quot;" command="SELECT * FROM [ゼノブレイドDE_任务管理  xlsx]" commandType="2"/>
  </connection>
</connections>
</file>

<file path=xl/sharedStrings.xml><?xml version="1.0" encoding="utf-8"?>
<sst xmlns="http://schemas.openxmlformats.org/spreadsheetml/2006/main" count="1638" uniqueCount="694">
  <si>
    <t>汇总一览</t>
  </si>
  <si>
    <t>跳转</t>
  </si>
  <si>
    <t>已完成任务</t>
  </si>
  <si>
    <t>当前进度</t>
  </si>
  <si>
    <t>总数</t>
  </si>
  <si>
    <t>コロニー9-任務</t>
  </si>
  <si>
    <t>テフラ洞窟-任務</t>
  </si>
  <si>
    <t>巨神脚-任務</t>
  </si>
  <si>
    <t>コロニー6-任務</t>
  </si>
  <si>
    <t>燐光の地ザトール-任務</t>
  </si>
  <si>
    <t>マクナ原生林-任務</t>
  </si>
  <si>
    <t>サイハテ村-任務</t>
  </si>
  <si>
    <t>エルト海-任務</t>
  </si>
  <si>
    <t>皇都アカモート-任務</t>
  </si>
  <si>
    <t>ヴァラク雪山-任務</t>
  </si>
  <si>
    <t>大剣の渓谷-任務</t>
  </si>
  <si>
    <t>ガラハド要塞-任務</t>
  </si>
  <si>
    <t>落ちた腕-任務</t>
  </si>
  <si>
    <t>機神界フィールド-任務</t>
  </si>
  <si>
    <t>中央工廠-任務</t>
  </si>
  <si>
    <t>帝都アグニラータ-任務</t>
  </si>
  <si>
    <t>監獄島(2回目)-任務</t>
  </si>
  <si>
    <t>宝石掉落攻略</t>
  </si>
  <si>
    <t>進入不可になるエリア</t>
  </si>
  <si>
    <t>エリア</t>
  </si>
  <si>
    <t>タイミング</t>
  </si>
  <si>
    <t>中央採掘場</t>
  </si>
  <si>
    <t>6章以降</t>
  </si>
  <si>
    <t>大剣の渓谷</t>
  </si>
  <si>
    <t>14章以降</t>
  </si>
  <si>
    <t>ガラハド要塞</t>
  </si>
  <si>
    <t>機神界フィールド</t>
  </si>
  <si>
    <t>15章以降</t>
  </si>
  <si>
    <t>中央工廠</t>
  </si>
  <si>
    <t>17章以降</t>
  </si>
  <si>
    <t>帝都アグニラータ</t>
  </si>
  <si>
    <t>機神界中枢</t>
  </si>
  <si>
    <t>攻略</t>
  </si>
  <si>
    <t>已完成</t>
  </si>
  <si>
    <t>未完成</t>
  </si>
  <si>
    <t>进度</t>
  </si>
  <si>
    <t>编号</t>
  </si>
  <si>
    <t>任务名称</t>
  </si>
  <si>
    <t>完成情况</t>
  </si>
  <si>
    <t>息子の形見</t>
  </si>
  <si>
    <t>〇</t>
  </si>
  <si>
    <t>元気の秘訣</t>
  </si>
  <si>
    <t>人気カレー屋のピンチ</t>
  </si>
  <si>
    <t>孫へのクッキー</t>
  </si>
  <si>
    <t>親バカの靴</t>
  </si>
  <si>
    <t>✕</t>
  </si>
  <si>
    <t>教育熱心なスザンナ</t>
  </si>
  <si>
    <t>教育過剰なスザンナ</t>
  </si>
  <si>
    <t>舞い散った花</t>
  </si>
  <si>
    <t>孤独なニルニー</t>
  </si>
  <si>
    <t>機械オンチの腕時計</t>
  </si>
  <si>
    <t>老兵ヤーンの試練</t>
  </si>
  <si>
    <r>
      <rPr>
        <sz val="11"/>
        <color theme="1"/>
        <rFont val="宋体"/>
        <charset val="134"/>
        <scheme val="minor"/>
      </rPr>
      <t>恋愛成就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女性編</t>
    </r>
  </si>
  <si>
    <r>
      <rPr>
        <sz val="11"/>
        <color theme="1"/>
        <rFont val="宋体"/>
        <charset val="134"/>
        <scheme val="minor"/>
      </rPr>
      <t>恋愛成就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男性編</t>
    </r>
  </si>
  <si>
    <t>貧乏評論家の悩み</t>
  </si>
  <si>
    <t>高利貸しの企み</t>
  </si>
  <si>
    <t>働きすぎコバム</t>
  </si>
  <si>
    <t>グッドパオラ</t>
  </si>
  <si>
    <t>スランプコパム</t>
  </si>
  <si>
    <t>パネラとネリネ</t>
  </si>
  <si>
    <r>
      <rPr>
        <sz val="11"/>
        <color theme="1"/>
        <rFont val="宋体"/>
        <charset val="134"/>
        <scheme val="minor"/>
      </rPr>
      <t>野望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準備編</t>
    </r>
  </si>
  <si>
    <r>
      <rPr>
        <sz val="11"/>
        <color theme="1"/>
        <rFont val="宋体"/>
        <charset val="134"/>
        <scheme val="minor"/>
      </rPr>
      <t>野望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前夜篇</t>
    </r>
  </si>
  <si>
    <r>
      <rPr>
        <sz val="11"/>
        <color theme="1"/>
        <rFont val="宋体"/>
        <charset val="134"/>
        <scheme val="minor"/>
      </rPr>
      <t>野望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  <scheme val="minor"/>
      </rPr>
      <t>実行篇</t>
    </r>
  </si>
  <si>
    <t>小娘隊長の依頼</t>
  </si>
  <si>
    <t>小娘隊長の苦難</t>
  </si>
  <si>
    <t>小娘隊長の栄進</t>
  </si>
  <si>
    <t>小娘隊長の挑戦</t>
  </si>
  <si>
    <t>小娘隊長の信頼</t>
  </si>
  <si>
    <t>小娘隊長の復活</t>
  </si>
  <si>
    <t>勇気とプライド</t>
  </si>
  <si>
    <t>友情の三種の神器</t>
  </si>
  <si>
    <r>
      <rPr>
        <sz val="11"/>
        <color theme="1"/>
        <rFont val="宋体"/>
        <charset val="134"/>
        <scheme val="minor"/>
      </rPr>
      <t>兄弟ゲンカ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アニキ編</t>
    </r>
  </si>
  <si>
    <r>
      <rPr>
        <sz val="11"/>
        <color theme="1"/>
        <rFont val="宋体"/>
        <charset val="134"/>
        <scheme val="minor"/>
      </rPr>
      <t>兄弟ゲンカ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オトウト編</t>
    </r>
  </si>
  <si>
    <t>帰るべき場所</t>
  </si>
  <si>
    <t>祖母の雪解け</t>
  </si>
  <si>
    <t>ロコの切実な願い</t>
  </si>
  <si>
    <t>ディーンの邪な願い</t>
  </si>
  <si>
    <t>リルカの真剣な願い</t>
  </si>
  <si>
    <t>ジャクソンの覚醒</t>
  </si>
  <si>
    <t>料理人ジャクソン</t>
  </si>
  <si>
    <t>詩人ジャクソン</t>
  </si>
  <si>
    <t>デジレーンの将来</t>
  </si>
  <si>
    <t>ベッティの贈り物</t>
  </si>
  <si>
    <t>デジレーンの謝罪</t>
  </si>
  <si>
    <t>エリート小隊長の苦難</t>
  </si>
  <si>
    <t>メイニーを知る</t>
  </si>
  <si>
    <t>ドロテアを知る</t>
  </si>
  <si>
    <t>謎の光の真相</t>
  </si>
  <si>
    <t>謎の光の行方</t>
  </si>
  <si>
    <t>なくしたペンダント</t>
  </si>
  <si>
    <t>討伐クエスト1その1</t>
  </si>
  <si>
    <t>討伐クエスト1その2</t>
  </si>
  <si>
    <t>討伐クエスト1その3</t>
  </si>
  <si>
    <t>討伐クエスト2その1</t>
  </si>
  <si>
    <t>討伐クエスト2その2</t>
  </si>
  <si>
    <t>討伐クエスト2その3</t>
  </si>
  <si>
    <t>討伐クエスト3その1</t>
  </si>
  <si>
    <t>討伐クエスト3その2</t>
  </si>
  <si>
    <t>討伐クエスト3その3</t>
  </si>
  <si>
    <t>討伐クエスト3その4</t>
  </si>
  <si>
    <t>討伐クエスト4その1</t>
  </si>
  <si>
    <t>討伐クエスト4その2</t>
  </si>
  <si>
    <t>討伐クエスト4その3</t>
  </si>
  <si>
    <t>強敵を求めて1</t>
  </si>
  <si>
    <t>強敵を求めて2</t>
  </si>
  <si>
    <t>強敵を求めて3</t>
  </si>
  <si>
    <t>強敵を求めて4</t>
  </si>
  <si>
    <t>素材クエスト1</t>
  </si>
  <si>
    <t>素材クエスト2</t>
  </si>
  <si>
    <t>素材クエスト3</t>
  </si>
  <si>
    <t>素材クエスト4</t>
  </si>
  <si>
    <t>収集クエスト1</t>
  </si>
  <si>
    <t>収集クエスト2</t>
  </si>
  <si>
    <t>収集クエスト3</t>
  </si>
  <si>
    <t>収集クエスト4</t>
  </si>
  <si>
    <t>おさがしクエスト1</t>
  </si>
  <si>
    <t>おさがしクエスト2</t>
  </si>
  <si>
    <t>おさがしクエスト3</t>
  </si>
  <si>
    <t>おさがしクエスト4</t>
  </si>
  <si>
    <t>友人思い</t>
  </si>
  <si>
    <t>ジェム爺の発明</t>
  </si>
  <si>
    <t>お弁当箱を届ける</t>
  </si>
  <si>
    <t>単独行動の兵士</t>
  </si>
  <si>
    <t>蜘蛛の繭は金になる</t>
  </si>
  <si>
    <t>これまでのお礼</t>
  </si>
  <si>
    <t>進路妨害</t>
  </si>
  <si>
    <t>バルファルガの書</t>
  </si>
  <si>
    <t>バルファルガの血</t>
  </si>
  <si>
    <t>バルファルガの道</t>
  </si>
  <si>
    <t>バルファルガの棺</t>
  </si>
  <si>
    <t>バルファルガの礼</t>
  </si>
  <si>
    <t>収集クエストその1</t>
  </si>
  <si>
    <t>収集クエストその2</t>
  </si>
  <si>
    <t>素材クエストその1</t>
  </si>
  <si>
    <t>素材クエストその2</t>
  </si>
  <si>
    <t>薬の時間</t>
  </si>
  <si>
    <t>祖父の心孫知らず</t>
  </si>
  <si>
    <t>君に贈る物語</t>
  </si>
  <si>
    <t>君へ贈る物語</t>
  </si>
  <si>
    <t>君が贈る物語</t>
  </si>
  <si>
    <t>君の贈る物語</t>
  </si>
  <si>
    <t>泥棒モンスター</t>
  </si>
  <si>
    <t>大食いモンスター</t>
  </si>
  <si>
    <t>女性を助けろ</t>
  </si>
  <si>
    <t>ウソつきオーネスト</t>
  </si>
  <si>
    <t>ひとでなしオーネスト</t>
  </si>
  <si>
    <t>こどくのオーネスト</t>
  </si>
  <si>
    <t>方向音痴迷惑ノポン</t>
  </si>
  <si>
    <t>最上級の感謝</t>
  </si>
  <si>
    <r>
      <rPr>
        <sz val="11"/>
        <color theme="1"/>
        <rFont val="宋体"/>
        <charset val="134"/>
        <scheme val="minor"/>
      </rPr>
      <t>再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最上級の感謝</t>
    </r>
  </si>
  <si>
    <r>
      <rPr>
        <sz val="11"/>
        <color theme="1"/>
        <rFont val="宋体"/>
        <charset val="134"/>
        <scheme val="minor"/>
      </rPr>
      <t>真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伝説のエンプレス</t>
    </r>
  </si>
  <si>
    <t>高嶺の花への花</t>
  </si>
  <si>
    <t>ぶつかり合うふたつ</t>
  </si>
  <si>
    <t>ザトールへの物資</t>
  </si>
  <si>
    <t>討伐クエスト1その4</t>
  </si>
  <si>
    <t>討伐クエスト2</t>
  </si>
  <si>
    <t>強敵を求めて1その1</t>
  </si>
  <si>
    <t>強敵を求めて1その2</t>
  </si>
  <si>
    <t>強敵を求めて2その1</t>
  </si>
  <si>
    <t>強敵を求めて2その2</t>
  </si>
  <si>
    <t>名前</t>
  </si>
  <si>
    <t>備考</t>
  </si>
  <si>
    <t>懐かしの我が街へ</t>
  </si>
  <si>
    <t>コロニー9</t>
  </si>
  <si>
    <t>ヴェルナー</t>
  </si>
  <si>
    <t>いざ、コロニー6へ</t>
  </si>
  <si>
    <t>パイラル</t>
  </si>
  <si>
    <r>
      <rPr>
        <sz val="11"/>
        <color theme="1"/>
        <rFont val="宋体"/>
        <charset val="134"/>
        <scheme val="minor"/>
      </rPr>
      <t>料理対決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反撃</t>
    </r>
  </si>
  <si>
    <t>メフィメフィ</t>
  </si>
  <si>
    <r>
      <rPr>
        <sz val="11"/>
        <color theme="1"/>
        <rFont val="宋体"/>
        <charset val="134"/>
        <scheme val="minor"/>
      </rPr>
      <t>料理対決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  <scheme val="minor"/>
      </rPr>
      <t>逆転？</t>
    </r>
  </si>
  <si>
    <t>ローズウェスト</t>
  </si>
  <si>
    <r>
      <rPr>
        <sz val="11"/>
        <color theme="1"/>
        <rFont val="宋体"/>
        <charset val="134"/>
        <scheme val="minor"/>
      </rPr>
      <t>料理対決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再逆転</t>
    </r>
  </si>
  <si>
    <t>オルクホング</t>
  </si>
  <si>
    <r>
      <rPr>
        <sz val="11"/>
        <color theme="1"/>
        <rFont val="宋体"/>
        <charset val="134"/>
        <scheme val="minor"/>
      </rPr>
      <t>料理対決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決着</t>
    </r>
  </si>
  <si>
    <t>パピィ</t>
  </si>
  <si>
    <t>珍味を求めて</t>
  </si>
  <si>
    <t>ヌーク</t>
  </si>
  <si>
    <r>
      <rPr>
        <sz val="11"/>
        <color theme="1"/>
        <rFont val="宋体"/>
        <charset val="134"/>
        <scheme val="minor"/>
      </rPr>
      <t>続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珍味を求めて</t>
    </r>
  </si>
  <si>
    <t>サイハテ村</t>
  </si>
  <si>
    <t>ホコ</t>
  </si>
  <si>
    <t>行方不明の同居人</t>
  </si>
  <si>
    <t>ポカポカ</t>
  </si>
  <si>
    <t>自由を求めて</t>
  </si>
  <si>
    <t>ノラ</t>
  </si>
  <si>
    <t>病弱なストロジャム</t>
  </si>
  <si>
    <t>ストロジャム</t>
  </si>
  <si>
    <t>呪われたストロジャム</t>
  </si>
  <si>
    <t>ゴワゴワー</t>
  </si>
  <si>
    <t>意地っ張りなストロジャム</t>
  </si>
  <si>
    <t>ミンカ</t>
  </si>
  <si>
    <t>止まらないストロジャム</t>
  </si>
  <si>
    <t>皇都アカモート</t>
  </si>
  <si>
    <t>タテドナス</t>
  </si>
  <si>
    <t>お嬢様対決A</t>
  </si>
  <si>
    <t>ミュキシリア</t>
  </si>
  <si>
    <t>お嬢様対決B</t>
  </si>
  <si>
    <t>ノポリック</t>
  </si>
  <si>
    <t>世界で一番透明なもの</t>
  </si>
  <si>
    <t>ユーリィ</t>
  </si>
  <si>
    <t>コロニー6</t>
  </si>
  <si>
    <t>お嬢様の恩返しA</t>
  </si>
  <si>
    <t>ジェリコン</t>
  </si>
  <si>
    <t>お嬢様の恩返しB</t>
  </si>
  <si>
    <t>ドン・シルバー</t>
  </si>
  <si>
    <t>お嬢様のワガママ</t>
  </si>
  <si>
    <t>ゼル・シルバー</t>
  </si>
  <si>
    <t>恋人探し</t>
  </si>
  <si>
    <t>エン・シルバー</t>
  </si>
  <si>
    <t>興奮の中年</t>
  </si>
  <si>
    <t>落ちた腕</t>
  </si>
  <si>
    <t>ナオナミ</t>
  </si>
  <si>
    <t>夢中の詩人</t>
  </si>
  <si>
    <t>シータクロス</t>
  </si>
  <si>
    <t>父に隠れてA</t>
  </si>
  <si>
    <t>父に隠れてB</t>
  </si>
  <si>
    <t>婚約の試練A</t>
  </si>
  <si>
    <t>婚約の試練B</t>
  </si>
  <si>
    <t>逃避行の阻止A</t>
  </si>
  <si>
    <t>逃避行の阻止B</t>
  </si>
  <si>
    <t>執事の悩み</t>
  </si>
  <si>
    <t>使用人の悩み</t>
  </si>
  <si>
    <t>老人マシーナの寿命</t>
  </si>
  <si>
    <t>詩人の悩み</t>
  </si>
  <si>
    <t>困った何でも屋</t>
  </si>
  <si>
    <t>困り果てた何でも屋</t>
  </si>
  <si>
    <r>
      <rPr>
        <sz val="11"/>
        <color theme="1"/>
        <rFont val="宋体"/>
        <charset val="134"/>
        <scheme val="minor"/>
      </rPr>
      <t>怪しい煙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調査編</t>
    </r>
  </si>
  <si>
    <r>
      <rPr>
        <sz val="11"/>
        <color theme="1"/>
        <rFont val="宋体"/>
        <charset val="134"/>
        <scheme val="minor"/>
      </rPr>
      <t>怪しい煙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解決編</t>
    </r>
  </si>
  <si>
    <t>ホムスの意地</t>
  </si>
  <si>
    <t>ノポンの意地</t>
  </si>
  <si>
    <t>商売人根性</t>
  </si>
  <si>
    <t>商売人ド根性</t>
  </si>
  <si>
    <r>
      <rPr>
        <sz val="11"/>
        <color theme="1"/>
        <rFont val="宋体"/>
        <charset val="134"/>
        <scheme val="minor"/>
      </rPr>
      <t>ヌーク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半人前計画</t>
    </r>
  </si>
  <si>
    <r>
      <rPr>
        <sz val="11"/>
        <color theme="1"/>
        <rFont val="宋体"/>
        <charset val="134"/>
        <scheme val="minor"/>
      </rPr>
      <t>ヌーク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一人前計画</t>
    </r>
  </si>
  <si>
    <t>恋愛を教えてやる</t>
  </si>
  <si>
    <t>勇気を教えてやる</t>
  </si>
  <si>
    <t>マトリョーナの返答</t>
  </si>
  <si>
    <t>わがまま娘ゆえの過ち</t>
  </si>
  <si>
    <t>薬屋業再開</t>
  </si>
  <si>
    <t>タツの弟</t>
  </si>
  <si>
    <t>安らかに眠れ</t>
  </si>
  <si>
    <t>安全な復興のために</t>
  </si>
  <si>
    <t>迂回ルートを作れ</t>
  </si>
  <si>
    <t>食料確保</t>
  </si>
  <si>
    <t>ノポン商会の証</t>
  </si>
  <si>
    <t>安全の確保</t>
  </si>
  <si>
    <t>極秘の任務</t>
  </si>
  <si>
    <t>モナドレプリカ1</t>
  </si>
  <si>
    <t>モナドレプリカ2</t>
  </si>
  <si>
    <t>モナドレプリカ3</t>
  </si>
  <si>
    <t>モナドレプリカ4</t>
  </si>
  <si>
    <t>モナドレプリカ5</t>
  </si>
  <si>
    <t>憂鬱のタルコ</t>
  </si>
  <si>
    <r>
      <rPr>
        <sz val="11"/>
        <color theme="1"/>
        <rFont val="宋体"/>
        <charset val="134"/>
        <scheme val="minor"/>
      </rPr>
      <t>コロニー6を守れ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機</t>
    </r>
  </si>
  <si>
    <r>
      <rPr>
        <sz val="11"/>
        <color theme="1"/>
        <rFont val="宋体"/>
        <charset val="134"/>
        <scheme val="minor"/>
      </rPr>
      <t>コロニー6を守れ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火</t>
    </r>
  </si>
  <si>
    <r>
      <rPr>
        <sz val="11"/>
        <color theme="1"/>
        <rFont val="宋体"/>
        <charset val="134"/>
        <scheme val="minor"/>
      </rPr>
      <t>コロニー6を守れ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超</t>
    </r>
  </si>
  <si>
    <r>
      <rPr>
        <sz val="11"/>
        <color theme="1"/>
        <rFont val="宋体"/>
        <charset val="134"/>
        <scheme val="minor"/>
      </rPr>
      <t>コロニー6を守れ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鳥</t>
    </r>
  </si>
  <si>
    <r>
      <rPr>
        <sz val="11"/>
        <color theme="1"/>
        <rFont val="宋体"/>
        <charset val="134"/>
        <scheme val="minor"/>
      </rPr>
      <t>コロニー6を守れ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嵐</t>
    </r>
  </si>
  <si>
    <t>列1</t>
  </si>
  <si>
    <t>ガシをソシ</t>
  </si>
  <si>
    <t>まだまだブッソウ</t>
  </si>
  <si>
    <t>まだブッソウ</t>
  </si>
  <si>
    <t>ヤマイはキから</t>
  </si>
  <si>
    <t>ナゾのチンミ</t>
  </si>
  <si>
    <t>オクリモノ？</t>
  </si>
  <si>
    <t>情報を得ろ</t>
  </si>
  <si>
    <t>さらわれたカチャ</t>
  </si>
  <si>
    <t>巨人族のタカラ</t>
  </si>
  <si>
    <t>ついに巨人族のタカラ</t>
  </si>
  <si>
    <t>野営の準備</t>
  </si>
  <si>
    <t>討伐クエストその1</t>
  </si>
  <si>
    <t>討伐クエストその2</t>
  </si>
  <si>
    <t>討伐クエストその3</t>
  </si>
  <si>
    <t>討伐クエストその4</t>
  </si>
  <si>
    <t>強敵を求めて</t>
  </si>
  <si>
    <t>友人のために</t>
  </si>
  <si>
    <t>友人を楽にしてあげて</t>
  </si>
  <si>
    <t>かつての仲間達を</t>
  </si>
  <si>
    <t>皇族の儀</t>
  </si>
  <si>
    <t>皇族の儀の準備</t>
  </si>
  <si>
    <t>古代の儀式</t>
  </si>
  <si>
    <t>儀式の準備</t>
  </si>
  <si>
    <t>センニンの伝説</t>
  </si>
  <si>
    <t>センニンの試練</t>
  </si>
  <si>
    <t>センニンの最終試練</t>
  </si>
  <si>
    <t>橋の修復</t>
  </si>
  <si>
    <t>謎の少女を救え</t>
  </si>
  <si>
    <t>レク一家の食糧危機</t>
  </si>
  <si>
    <t>パトロンを探せ</t>
  </si>
  <si>
    <t>勇者の心意気</t>
  </si>
  <si>
    <t>キカより先回り</t>
  </si>
  <si>
    <t>苦手なトカゲ</t>
  </si>
  <si>
    <t>モテ期到来の予感</t>
  </si>
  <si>
    <t>ミキサー製作</t>
  </si>
  <si>
    <t>ミキサーの材料集め</t>
  </si>
  <si>
    <t>かわいいお部屋に大変身</t>
  </si>
  <si>
    <t>虫好き仲間を求めて</t>
  </si>
  <si>
    <t>虫好きじいさんの悩み</t>
  </si>
  <si>
    <t>虫好きじいさんの苦悩</t>
  </si>
  <si>
    <t>やわらかキノコ</t>
  </si>
  <si>
    <t>治療装置を開発</t>
  </si>
  <si>
    <t>入れ歯を作る</t>
  </si>
  <si>
    <t>世界一濃い口の料理</t>
  </si>
  <si>
    <t>あべこべグルメ</t>
  </si>
  <si>
    <t>あま〜い誘惑</t>
  </si>
  <si>
    <t>酒造りの材料</t>
  </si>
  <si>
    <t>医者の不養生</t>
  </si>
  <si>
    <t>ノポン伝統のおまじない</t>
  </si>
  <si>
    <t>不正表示問題</t>
  </si>
  <si>
    <t>おっきくな〜れ</t>
  </si>
  <si>
    <t>どっちを大きく</t>
  </si>
  <si>
    <t>地下からの不気味な声</t>
  </si>
  <si>
    <t>音楽は偉大</t>
  </si>
  <si>
    <r>
      <rPr>
        <sz val="11"/>
        <color theme="1"/>
        <rFont val="宋体"/>
        <charset val="134"/>
        <scheme val="minor"/>
      </rPr>
      <t>ハミング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コレクション</t>
    </r>
  </si>
  <si>
    <r>
      <rPr>
        <sz val="11"/>
        <color theme="1"/>
        <rFont val="宋体"/>
        <charset val="134"/>
        <scheme val="minor"/>
      </rPr>
      <t>ポップン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コレクション</t>
    </r>
  </si>
  <si>
    <t>害虫駆除</t>
  </si>
  <si>
    <t>母の死を超えて</t>
  </si>
  <si>
    <t>とーちゃんが心配</t>
  </si>
  <si>
    <t>ゼッタイいる</t>
  </si>
  <si>
    <t>村長がいなくても</t>
  </si>
  <si>
    <t>おしゃべりペルペル</t>
  </si>
  <si>
    <t>がんばれミコ</t>
  </si>
  <si>
    <t>巨人の襲撃</t>
  </si>
  <si>
    <t>たまには孫らしく</t>
  </si>
  <si>
    <t>秘薬の材料集め</t>
  </si>
  <si>
    <t>マクナ遺跡の謎1</t>
  </si>
  <si>
    <t>マクナ遺跡の謎2</t>
  </si>
  <si>
    <t>マクナ遺跡の謎3</t>
  </si>
  <si>
    <t>マクナ遺跡の謎4</t>
  </si>
  <si>
    <t>センニンのお供え</t>
  </si>
  <si>
    <t>センニンに出会う</t>
  </si>
  <si>
    <t>キノコ時計の修理</t>
  </si>
  <si>
    <t>皇都を復興するために</t>
  </si>
  <si>
    <t>皇都を復興するために2</t>
  </si>
  <si>
    <t>壊れたエーテル炉</t>
  </si>
  <si>
    <t>壊れたエーテル炉2</t>
  </si>
  <si>
    <t>お父さんの形見を</t>
  </si>
  <si>
    <t>花粉玉の材料調達</t>
  </si>
  <si>
    <t>ヒミツの材料集め</t>
  </si>
  <si>
    <t>ヒミツの技術革新</t>
  </si>
  <si>
    <t>跡継ぎ問題</t>
  </si>
  <si>
    <t>危険な野望</t>
  </si>
  <si>
    <t>黒幕を探せ</t>
  </si>
  <si>
    <t>参謀を追い詰めろ</t>
  </si>
  <si>
    <t>証拠集め</t>
  </si>
  <si>
    <t>皇都での取引を潰せ</t>
  </si>
  <si>
    <t>裏切りのバーン</t>
  </si>
  <si>
    <t>大事な弟子</t>
  </si>
  <si>
    <t>安全なエネルギーに</t>
  </si>
  <si>
    <t>有効成分を抽出する</t>
  </si>
  <si>
    <t>勇者のお使い</t>
  </si>
  <si>
    <t>孤立無援のプラント</t>
  </si>
  <si>
    <t>フーディを成敗せよ</t>
  </si>
  <si>
    <t>プラントを修理せよ</t>
  </si>
  <si>
    <t>フーディを撃退せよ</t>
  </si>
  <si>
    <t>焦心苦慮の東大</t>
  </si>
  <si>
    <t>ザトールの調査</t>
  </si>
  <si>
    <t>古代ハイエンターの謎</t>
  </si>
  <si>
    <t>離れた手をもう一度</t>
  </si>
  <si>
    <t>私に出来る唯一のこと</t>
  </si>
  <si>
    <t>あなたを忘れない</t>
  </si>
  <si>
    <t>秘密の研究所</t>
  </si>
  <si>
    <t>作業員を救助せよ</t>
  </si>
  <si>
    <t>監獄島への道</t>
  </si>
  <si>
    <t>封印の姉妹門</t>
  </si>
  <si>
    <t>文献解読装置</t>
  </si>
  <si>
    <t>文献解読装置改良</t>
  </si>
  <si>
    <t>タリアの研究</t>
  </si>
  <si>
    <t>息子を連れ戻して</t>
  </si>
  <si>
    <t>教材の材料を集めて</t>
  </si>
  <si>
    <t>勇気ある行動</t>
  </si>
  <si>
    <t>皇都の安全を守れ</t>
  </si>
  <si>
    <t>気持ちを知りたい</t>
  </si>
  <si>
    <t>自分の本心を知りたい</t>
  </si>
  <si>
    <t>何があっても君を愛す</t>
  </si>
  <si>
    <t>いつまでも君と一緒に</t>
  </si>
  <si>
    <t>親友のために</t>
  </si>
  <si>
    <t>大冒険の準備</t>
  </si>
  <si>
    <r>
      <rPr>
        <sz val="11"/>
        <color theme="1"/>
        <rFont val="宋体"/>
        <charset val="134"/>
        <scheme val="minor"/>
      </rPr>
      <t>続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大冒険の準備</t>
    </r>
  </si>
  <si>
    <r>
      <rPr>
        <sz val="11"/>
        <color theme="1"/>
        <rFont val="宋体"/>
        <charset val="134"/>
        <scheme val="minor"/>
      </rPr>
      <t>続々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大冒険の準備</t>
    </r>
  </si>
  <si>
    <t>冒険者たちの遭難</t>
  </si>
  <si>
    <t>他種族嫌いを治して</t>
  </si>
  <si>
    <t>もう一度、信じる心を</t>
  </si>
  <si>
    <t>輝きをその小さな手に</t>
  </si>
  <si>
    <t>さらなる輝きをその手に</t>
  </si>
  <si>
    <t>腰痛持ちは大変だ</t>
  </si>
  <si>
    <t>金色の虫を求めて</t>
  </si>
  <si>
    <t>お酒に強くなりたい</t>
  </si>
  <si>
    <t>迷子の息子を探して</t>
  </si>
  <si>
    <t>迷子の娘を探して</t>
  </si>
  <si>
    <t>息子が外で遊べる様に</t>
  </si>
  <si>
    <t>会員証を手に入れろ</t>
  </si>
  <si>
    <t>ビビアン救出作戦</t>
  </si>
  <si>
    <t>チルキンかアントルか</t>
  </si>
  <si>
    <t>ヴァラク雪山展望調査</t>
  </si>
  <si>
    <t>ブルブルノポン</t>
  </si>
  <si>
    <t>バッドタイミング</t>
  </si>
  <si>
    <t>チルキン族の変化</t>
  </si>
  <si>
    <t>パワーバランス</t>
  </si>
  <si>
    <t>帰ってこない相棒</t>
  </si>
  <si>
    <t>巨人族最後の遺跡</t>
  </si>
  <si>
    <t>巨人族三種の神器</t>
  </si>
  <si>
    <t>討伐クエスト1</t>
  </si>
  <si>
    <t>討伐クエスト3</t>
  </si>
  <si>
    <t>討伐クエスト4</t>
  </si>
  <si>
    <t>ヴァラクの熱い石</t>
  </si>
  <si>
    <t>ドルガン監視砦制圧</t>
  </si>
  <si>
    <t>エナルダ管理基地制圧</t>
  </si>
  <si>
    <t>第3ゲート防衛戦</t>
  </si>
  <si>
    <t>電波塔部隊鎮圧</t>
  </si>
  <si>
    <t>リフト再起動作戦</t>
  </si>
  <si>
    <t>補給施設停止作戦</t>
  </si>
  <si>
    <t>タービン停止作戦</t>
  </si>
  <si>
    <t>フィオルンの説得</t>
  </si>
  <si>
    <t>同胞を救え</t>
  </si>
  <si>
    <t>同胞のために出来ること</t>
  </si>
  <si>
    <t>水汲みの不安</t>
  </si>
  <si>
    <t>里の無事を確保して</t>
  </si>
  <si>
    <t>機神兵大量討伐</t>
  </si>
  <si>
    <t>成長するために</t>
  </si>
  <si>
    <t>動力伝達バイパス入手</t>
  </si>
  <si>
    <t>空気圧縮ポンプ入手</t>
  </si>
  <si>
    <t>高性能小型動力炉入手</t>
  </si>
  <si>
    <t>機神界の歴史</t>
  </si>
  <si>
    <t>帝都の歴史</t>
  </si>
  <si>
    <t>ホムスになりたい</t>
  </si>
  <si>
    <t>無力</t>
  </si>
  <si>
    <t>パワーアップ</t>
  </si>
  <si>
    <t>壊れたドアの修理</t>
  </si>
  <si>
    <t>花が枯れちゃう</t>
  </si>
  <si>
    <t>約束の剣</t>
  </si>
  <si>
    <t>十年に一度の定期検査</t>
  </si>
  <si>
    <t>厳しい戦い</t>
  </si>
  <si>
    <t>手に馴染む武器を</t>
  </si>
  <si>
    <t>セラピー</t>
  </si>
  <si>
    <t>壊れた思い出の修復</t>
  </si>
  <si>
    <r>
      <rPr>
        <sz val="11"/>
        <color theme="1"/>
        <rFont val="宋体"/>
        <charset val="134"/>
        <scheme val="minor"/>
      </rPr>
      <t>問題解決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パパ編</t>
    </r>
  </si>
  <si>
    <r>
      <rPr>
        <sz val="11"/>
        <color theme="1"/>
        <rFont val="宋体"/>
        <charset val="134"/>
        <scheme val="minor"/>
      </rPr>
      <t>問題解決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ママ編</t>
    </r>
  </si>
  <si>
    <t>食料配達</t>
  </si>
  <si>
    <t>愛するヒトに</t>
  </si>
  <si>
    <t>愛するヒトへ</t>
  </si>
  <si>
    <t>フィオルンとの再会</t>
  </si>
  <si>
    <t>仲間は生きている</t>
  </si>
  <si>
    <t>フィオルンの治療</t>
  </si>
  <si>
    <t>愛のブーツ</t>
  </si>
  <si>
    <t>討伐クエスト</t>
  </si>
  <si>
    <t>強敵を求めてその1</t>
  </si>
  <si>
    <t>強敵を求めてその2</t>
  </si>
  <si>
    <t>上層を目指せ</t>
  </si>
  <si>
    <t>第3リフトを起動しろ</t>
  </si>
  <si>
    <t>大隔壁を開放せよ</t>
  </si>
  <si>
    <t>高速リフトを起動せよ</t>
  </si>
  <si>
    <t>電源を供給せよ</t>
  </si>
  <si>
    <t>待機部隊を叩け</t>
  </si>
  <si>
    <t>強行突破</t>
  </si>
  <si>
    <t>屋上の決戦</t>
  </si>
  <si>
    <t>フィオルンの新武器</t>
  </si>
  <si>
    <t>中央塔を目指せ</t>
  </si>
  <si>
    <t>整備棟を抜けろ</t>
  </si>
  <si>
    <t>上層への道を探せ</t>
  </si>
  <si>
    <t>爆弾の材料を集めろ</t>
  </si>
  <si>
    <t>中央塔の障壁</t>
  </si>
  <si>
    <t>治安維持1その1</t>
  </si>
  <si>
    <t>治安維持1その2</t>
  </si>
  <si>
    <t>治安維持1その3</t>
  </si>
  <si>
    <t>治安維持2その1</t>
  </si>
  <si>
    <t>治安維持2その2</t>
  </si>
  <si>
    <t>治安維持2その3</t>
  </si>
  <si>
    <t>兵力近衛1その1</t>
  </si>
  <si>
    <t>兵力近衛1その2</t>
  </si>
  <si>
    <t>兵力近衛2その1</t>
  </si>
  <si>
    <t>兵力近衛2その2</t>
  </si>
  <si>
    <t>アグ二ラータ美化その1</t>
  </si>
  <si>
    <t>アグ二ラータ美化その2</t>
  </si>
  <si>
    <t>テレシア調査その1</t>
  </si>
  <si>
    <t>テレシア調査その2</t>
  </si>
  <si>
    <t>神殿への転送装置</t>
  </si>
  <si>
    <t>四柱の認証装置</t>
  </si>
  <si>
    <t>巨神界の崩壊を止める</t>
  </si>
  <si>
    <t>ディクソンを追え</t>
  </si>
  <si>
    <t>頂上への道</t>
  </si>
  <si>
    <t>人物名</t>
  </si>
  <si>
    <t>是否登录</t>
  </si>
  <si>
    <t>アードルフ</t>
  </si>
  <si>
    <t>アルノルト</t>
  </si>
  <si>
    <r>
      <rPr>
        <sz val="11"/>
        <color theme="1"/>
        <rFont val="宋体"/>
        <charset val="134"/>
        <scheme val="minor"/>
      </rPr>
      <t>エミ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リータ</t>
    </r>
  </si>
  <si>
    <t>エリック</t>
  </si>
  <si>
    <t>カズロー</t>
  </si>
  <si>
    <t>カンタン</t>
  </si>
  <si>
    <r>
      <rPr>
        <sz val="11"/>
        <color theme="1"/>
        <rFont val="宋体"/>
        <charset val="134"/>
        <scheme val="minor"/>
      </rPr>
      <t>キング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  <scheme val="minor"/>
      </rPr>
      <t>スクイズ</t>
    </r>
  </si>
  <si>
    <t>グレフ</t>
  </si>
  <si>
    <r>
      <rPr>
        <sz val="11"/>
        <color theme="1"/>
        <rFont val="宋体"/>
        <charset val="134"/>
        <scheme val="minor"/>
      </rPr>
      <t>ケニ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ルヒン</t>
    </r>
  </si>
  <si>
    <t>コパム</t>
  </si>
  <si>
    <t>ジャクソン</t>
  </si>
  <si>
    <t>シューラ</t>
  </si>
  <si>
    <t>ジョエル</t>
  </si>
  <si>
    <t>ジローク</t>
  </si>
  <si>
    <t>スザンナ</t>
  </si>
  <si>
    <t>スルワ</t>
  </si>
  <si>
    <t>ソニア</t>
  </si>
  <si>
    <t>ソルトセサミ</t>
  </si>
  <si>
    <t>ツィリル</t>
  </si>
  <si>
    <t>ディーン</t>
  </si>
  <si>
    <t>ディオニージス</t>
  </si>
  <si>
    <t>デジレーン</t>
  </si>
  <si>
    <t>デュランド</t>
  </si>
  <si>
    <t>ドロテア</t>
  </si>
  <si>
    <t>ニルニー</t>
  </si>
  <si>
    <t>ネリネ</t>
  </si>
  <si>
    <t>パオラ</t>
  </si>
  <si>
    <t>フランソワ</t>
  </si>
  <si>
    <t>フリッツ</t>
  </si>
  <si>
    <t>ベッティ</t>
  </si>
  <si>
    <t>マーシャ</t>
  </si>
  <si>
    <t>ミラー</t>
  </si>
  <si>
    <t>メイニー</t>
  </si>
  <si>
    <t>モニカ</t>
  </si>
  <si>
    <t>ヤーン</t>
  </si>
  <si>
    <t>リルカ</t>
  </si>
  <si>
    <t>ルヒオル</t>
  </si>
  <si>
    <t>レモーレオン</t>
  </si>
  <si>
    <t>ロコ</t>
  </si>
  <si>
    <t>地区</t>
  </si>
  <si>
    <t>怪物名称</t>
  </si>
  <si>
    <t>薄影のマトリクス</t>
  </si>
  <si>
    <t>温厚なビッグマム</t>
  </si>
  <si>
    <t>借宿のドロテーア</t>
  </si>
  <si>
    <t>姑息なフレンゲル</t>
  </si>
  <si>
    <t>湖底のオフレス</t>
  </si>
  <si>
    <t>湖面のマグダレーナ</t>
  </si>
  <si>
    <t>柔軟なロドリゲス</t>
  </si>
  <si>
    <t>新緑のブルックル</t>
  </si>
  <si>
    <t>鉄壁のレッドロブ</t>
  </si>
  <si>
    <t>常闇のムラクモ</t>
  </si>
  <si>
    <t>早業のラムシャイド</t>
  </si>
  <si>
    <t>暴飲のブラッケン</t>
  </si>
  <si>
    <t>魅惑のグリューネ</t>
  </si>
  <si>
    <t>横道のラングロット</t>
  </si>
  <si>
    <t>テフラ洞窟</t>
  </si>
  <si>
    <t>穴蔵のバグワム</t>
  </si>
  <si>
    <t>壁際のグエンリー</t>
  </si>
  <si>
    <t>空虚のガルデーン</t>
  </si>
  <si>
    <t>堅牢なコーネフ</t>
  </si>
  <si>
    <t>虚空のザンデン</t>
  </si>
  <si>
    <t>採掘のパトリチェフ</t>
  </si>
  <si>
    <t>三弦のヴァンフレア</t>
  </si>
  <si>
    <t>閃光のトロスニア</t>
  </si>
  <si>
    <t>宣告のバニードズル</t>
  </si>
  <si>
    <t>治安のトーキドン</t>
  </si>
  <si>
    <t>火花のゲルデシア</t>
  </si>
  <si>
    <t>豊潤のスパラーダ</t>
  </si>
  <si>
    <t>暴食のオイゲン</t>
  </si>
  <si>
    <t>流転のゴリアンテ</t>
  </si>
  <si>
    <t>巨神脚</t>
  </si>
  <si>
    <t>崖上のバイエルン</t>
  </si>
  <si>
    <t>渓谷のバレンシア</t>
  </si>
  <si>
    <t>甲殻のロックウェル</t>
  </si>
  <si>
    <t>午睡のウルフェン</t>
  </si>
  <si>
    <t>純白のエドワルド</t>
  </si>
  <si>
    <t>狙撃のパラミシア</t>
  </si>
  <si>
    <t>中原のオルトリッチ</t>
  </si>
  <si>
    <t>調教のハーメルン</t>
  </si>
  <si>
    <t>縄張りバルバロッサ</t>
  </si>
  <si>
    <t>風来のアルフィード</t>
  </si>
  <si>
    <t>不動のゴンザレス</t>
  </si>
  <si>
    <t>暴走のアンダンテ</t>
  </si>
  <si>
    <t>面妖なバーナビー</t>
  </si>
  <si>
    <t>闇夜のカルダモン</t>
  </si>
  <si>
    <t>迷走のシュタード</t>
  </si>
  <si>
    <t>幽玄のホーランド</t>
  </si>
  <si>
    <t>暗闇のキスリング</t>
  </si>
  <si>
    <t>制裁のドールトン</t>
  </si>
  <si>
    <t>優美なマーリン</t>
  </si>
  <si>
    <t>燐光の地ザトール</t>
  </si>
  <si>
    <t>永劫のパレスアテナ</t>
  </si>
  <si>
    <t>琥珀のフィッシャー</t>
  </si>
  <si>
    <t>疾風のゼクトール</t>
  </si>
  <si>
    <t>衝撃のレオポルド</t>
  </si>
  <si>
    <t>慎重なバルトエイト</t>
  </si>
  <si>
    <t>怒涛のフェリックス</t>
  </si>
  <si>
    <t>不屈のドールトン</t>
  </si>
  <si>
    <t>暴帝のアルセーヌ</t>
  </si>
  <si>
    <t>暴風のワイダーデン</t>
  </si>
  <si>
    <t>無謀なゴドウィン</t>
  </si>
  <si>
    <t>陽光のシュヴァイク</t>
  </si>
  <si>
    <t>老練なヨーゼル</t>
  </si>
  <si>
    <t>巨神胎内</t>
  </si>
  <si>
    <t>鬼道のマハトス</t>
  </si>
  <si>
    <t>五光のグロース</t>
  </si>
  <si>
    <t>将校のロブスト</t>
  </si>
  <si>
    <t>鮮烈のアンスタン</t>
  </si>
  <si>
    <t>能動のインプルソ</t>
  </si>
  <si>
    <t>秘奥のアベティ</t>
  </si>
  <si>
    <t>宝仙のクレーシタ</t>
  </si>
  <si>
    <t>冥王のバルバルス</t>
  </si>
  <si>
    <t>マクナ原生林</t>
  </si>
  <si>
    <t>陽炎のフォルテ</t>
  </si>
  <si>
    <t>豪獣のディガリウス</t>
  </si>
  <si>
    <t>残虐のグラーヴァ</t>
  </si>
  <si>
    <t>執念のガルガロン</t>
  </si>
  <si>
    <t>大空のゴルテウス</t>
  </si>
  <si>
    <t>怠惰のブルーコ</t>
  </si>
  <si>
    <t>春風のゾルホス</t>
  </si>
  <si>
    <t>流麗のアルバトロ</t>
  </si>
  <si>
    <t>連星のレゾーナ</t>
  </si>
  <si>
    <t>老兄のグラグース</t>
  </si>
  <si>
    <t>逆上のバーン</t>
  </si>
  <si>
    <t>エルト海</t>
  </si>
  <si>
    <t>光速のソニード</t>
  </si>
  <si>
    <t>終焉のメデオウロ</t>
  </si>
  <si>
    <t>常道のベンダズ</t>
  </si>
  <si>
    <t>積雲のダネイモス</t>
  </si>
  <si>
    <t>葬送のゴズラ</t>
  </si>
  <si>
    <t>大渦のベルモ</t>
  </si>
  <si>
    <t>大嵐のエイデジア</t>
  </si>
  <si>
    <t>地底のツモギリ</t>
  </si>
  <si>
    <t>剥落のキルヒアイス</t>
  </si>
  <si>
    <t>霹靂のジローネ</t>
  </si>
  <si>
    <t>暴風のベルラガン</t>
  </si>
  <si>
    <t>雷鳴のダブロン</t>
  </si>
  <si>
    <t>猟奇のラゴエル</t>
  </si>
  <si>
    <t>霊峰のザガメイ</t>
  </si>
  <si>
    <t>ハイエンター墓所</t>
  </si>
  <si>
    <t>安寧のアンザビ</t>
  </si>
  <si>
    <t>憤怒のジョーザン</t>
  </si>
  <si>
    <t>監獄島</t>
  </si>
  <si>
    <t>悪食のクロンボーク</t>
  </si>
  <si>
    <t>威風のクロンボーク</t>
  </si>
  <si>
    <t>炎帝のハインリヒ</t>
  </si>
  <si>
    <t>鬼王のオーバーン</t>
  </si>
  <si>
    <t>紫電のギガスパル</t>
  </si>
  <si>
    <t>白眼のアーケシュ</t>
  </si>
  <si>
    <t>不老のモアビート</t>
  </si>
  <si>
    <t>明鏡のイムラリ</t>
  </si>
  <si>
    <t>ヴァラク雪山</t>
  </si>
  <si>
    <t>隠蔽のガミジン</t>
  </si>
  <si>
    <t>炎獄のレクシール</t>
  </si>
  <si>
    <t>宴楽のウァサゴ</t>
  </si>
  <si>
    <t>月光のパイモン</t>
  </si>
  <si>
    <t>豪雪のベルガザス</t>
  </si>
  <si>
    <t>七星のグシオン</t>
  </si>
  <si>
    <t>終世のマークス</t>
  </si>
  <si>
    <t>秀麗のバルバトス</t>
  </si>
  <si>
    <t>雪檻のアバーシ</t>
  </si>
  <si>
    <t>壮美のブエル</t>
  </si>
  <si>
    <t>蛮行のシトリー</t>
  </si>
  <si>
    <t>放浪のアモン</t>
  </si>
  <si>
    <t>濛々のマルバス</t>
  </si>
  <si>
    <t>露光のウォレフォル</t>
  </si>
  <si>
    <t>悪戯のナベリウス</t>
  </si>
  <si>
    <t>稲妻のロノウェ</t>
  </si>
  <si>
    <t>運命のラボラス</t>
  </si>
  <si>
    <t>神風のブネ</t>
  </si>
  <si>
    <t>思慮のプルソン</t>
  </si>
  <si>
    <t>博愛のアイム</t>
  </si>
  <si>
    <t>平穏のモラクス</t>
  </si>
  <si>
    <t>老朽のイポス</t>
  </si>
  <si>
    <t>氷河のエイコーン</t>
  </si>
  <si>
    <t>宝珠のレトラート</t>
  </si>
  <si>
    <t>爛漫のシュロム</t>
  </si>
  <si>
    <t>悪魔のバティン</t>
  </si>
  <si>
    <t>荒神のエリゴス</t>
  </si>
  <si>
    <t>閻魔のサレオス</t>
  </si>
  <si>
    <t>盛栄のゼパル</t>
  </si>
  <si>
    <t>早老のレラジュ</t>
  </si>
  <si>
    <t>太古のデイダラ</t>
  </si>
  <si>
    <t>宝幸のベレト</t>
  </si>
  <si>
    <t>名桜のボティス</t>
  </si>
  <si>
    <t>隠滅のサルバシオン</t>
  </si>
  <si>
    <t>艶笑のアールカ</t>
  </si>
  <si>
    <t>革命のビフロンス</t>
  </si>
  <si>
    <t>地獄のクロケル</t>
  </si>
  <si>
    <t>将星のオラシオン</t>
  </si>
  <si>
    <t>王城のモルドレッド</t>
  </si>
  <si>
    <t>原罪のラモラック</t>
  </si>
  <si>
    <t>信仰のランスロット</t>
  </si>
  <si>
    <t>星霜のガウェイン</t>
  </si>
  <si>
    <t>千秋のフォカロル</t>
  </si>
  <si>
    <t>暖冬のフロレンス</t>
  </si>
  <si>
    <t>天秤のパロミデス</t>
  </si>
  <si>
    <t>梅花のヴァグール</t>
  </si>
  <si>
    <t>連奏のガヘリス</t>
  </si>
  <si>
    <t>安堵のアグロヴァル</t>
  </si>
  <si>
    <t>逆鱗のオロバス</t>
  </si>
  <si>
    <t>修羅のボールス</t>
  </si>
  <si>
    <t>情念のフラムラル</t>
  </si>
  <si>
    <t>聡明のグレモリ</t>
  </si>
  <si>
    <t>瞑想のウァプラ</t>
  </si>
  <si>
    <t>流浪のアロケル</t>
  </si>
  <si>
    <t>老巧のトリスタン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</si>
</sst>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Segoe UI Symbol"/>
      <charset val="134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/>
      <bottom style="thin">
        <color theme="4" tint="0.399975585192419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6">
      <alignment vertical="center"/>
    </xf>
    <xf numFmtId="0" fontId="2" fillId="2" borderId="0" xfId="0" applyFont="1" applyFill="1">
      <alignment vertical="center"/>
    </xf>
    <xf numFmtId="9" fontId="0" fillId="0" borderId="0" xfId="3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6" applyFont="1">
      <alignment vertical="center"/>
    </xf>
    <xf numFmtId="0" fontId="5" fillId="0" borderId="0" xfId="6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>
      <alignment vertical="center"/>
    </xf>
    <xf numFmtId="0" fontId="7" fillId="3" borderId="2" xfId="0" applyNumberFormat="1" applyFont="1" applyFill="1" applyBorder="1">
      <alignment vertical="center"/>
    </xf>
    <xf numFmtId="0" fontId="7" fillId="3" borderId="3" xfId="0" applyNumberFormat="1" applyFont="1" applyFill="1" applyBorder="1">
      <alignment vertical="center"/>
    </xf>
    <xf numFmtId="0" fontId="7" fillId="3" borderId="4" xfId="0" applyNumberFormat="1" applyFont="1" applyFill="1" applyBorder="1">
      <alignment vertical="center"/>
    </xf>
    <xf numFmtId="0" fontId="8" fillId="0" borderId="0" xfId="0" applyFont="1">
      <alignment vertical="center"/>
    </xf>
    <xf numFmtId="0" fontId="0" fillId="0" borderId="0" xfId="0" applyNumberFormat="1">
      <alignment vertical="center"/>
    </xf>
    <xf numFmtId="0" fontId="1" fillId="0" borderId="0" xfId="6" applyFill="1" applyAlignment="1">
      <alignment horizontal="left" vertical="top"/>
    </xf>
    <xf numFmtId="0" fontId="2" fillId="0" borderId="0" xfId="0" applyNumberFormat="1" applyFont="1">
      <alignment vertical="center"/>
    </xf>
    <xf numFmtId="0" fontId="1" fillId="0" borderId="0" xfId="6" applyNumberFormat="1" applyFill="1">
      <alignment vertical="center"/>
    </xf>
    <xf numFmtId="9" fontId="0" fillId="0" borderId="0" xfId="3" applyNumberFormat="1" applyFill="1">
      <alignment vertical="center"/>
    </xf>
    <xf numFmtId="0" fontId="5" fillId="0" borderId="0" xfId="6" applyNumberFormat="1" applyFont="1" applyFill="1">
      <alignment vertical="center"/>
    </xf>
    <xf numFmtId="0" fontId="9" fillId="0" borderId="0" xfId="0" applyNumberFormat="1" applyFont="1" applyFill="1" applyBorder="1" applyAlignment="1" applyProtection="1">
      <alignment vertical="center"/>
    </xf>
    <xf numFmtId="9" fontId="2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numFmt numFmtId="0" formatCode="General"/>
    </dxf>
    <dxf>
      <numFmt numFmtId="0" formatCode="General"/>
      <fill>
        <patternFill patternType="none"/>
      </fill>
    </dxf>
    <dxf>
      <numFmt numFmtId="0" formatCode="General"/>
    </dxf>
    <dxf>
      <numFmt numFmtId="9" formatCode="0%"/>
      <fill>
        <patternFill patternType="none"/>
      </fill>
    </dxf>
    <dxf>
      <numFmt numFmtId="0" formatCode="General"/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customXml" Target="../customXml/item1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connections" Target="connections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2">
    <queryTableFields count="1">
      <queryTableField id="1" name="汇总一览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0" name="表_ゼノブレイドDE_任务管理__xlsx" displayName="表_ゼノブレイドDE_任务管理__xlsx" ref="A1:E19" tableType="queryTable" totalsRowCount="1">
  <autoFilter xmlns:etc="http://www.wps.cn/officeDocument/2017/etCustomData" ref="A1:E18" etc:filterBottomFollowUsedRange="0"/>
  <tableColumns count="5">
    <tableColumn id="5" name="汇总一览" uniqueName="5" queryTableFieldId="1" dataDxfId="0"/>
    <tableColumn id="6" name="跳转" uniqueName="6" queryTableFieldId="2" dataDxfId="1">
      <calculatedColumnFormula>HYPERLINK("#'"&amp;A2&amp;"'!A1",A2)</calculatedColumnFormula>
    </tableColumn>
    <tableColumn id="8" name="已完成任务" uniqueName="8" queryTableFieldId="3" dataDxfId="2" totalsRowFunction="sum">
      <calculatedColumnFormula>INDIRECT("'"&amp;A2&amp;"'!B2")</calculatedColumnFormula>
    </tableColumn>
    <tableColumn id="9" name="当前进度" uniqueName="9" queryTableFieldId="4" dataDxfId="3" totalsRowFunction="custom">
      <calculatedColumnFormula>INDIRECT("'"&amp;B2&amp;"'!B4")</calculatedColumnFormula>
      <totalsRowFormula>表_ゼノブレイドDE_任务管理__xlsx[[#Totals],[已完成任务]]/表_ゼノブレイドDE_任务管理__xlsx[[#Totals],[总数]]</totalsRowFormula>
    </tableColumn>
    <tableColumn id="10" name="总数" uniqueName="10" queryTableFieldId="5" dataDxfId="4" totalsRowFunction="sum">
      <calculatedColumnFormula>INDIRECT("'"&amp;A2&amp;"'!B3")+INDIRECT("'"&amp;A2&amp;"'!B2")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4" name="表24" displayName="表24" ref="A27:B34" totalsRowShown="0">
  <autoFilter xmlns:etc="http://www.wps.cn/officeDocument/2017/etCustomData" ref="A27:B34" etc:filterBottomFollowUsedRange="0"/>
  <tableColumns count="2">
    <tableColumn id="1" name="エリア"/>
    <tableColumn id="2" name="タイミン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表1" displayName="表1" ref="A5:C86" totalsRowShown="0">
  <autoFilter xmlns:etc="http://www.wps.cn/officeDocument/2017/etCustomData" ref="A5:C86" etc:filterBottomFollowUsedRange="0">
    <filterColumn colId="2">
      <customFilters>
        <customFilter operator="equal" val="✕"/>
      </customFilters>
    </filterColumn>
  </autoFilter>
  <tableColumns count="3">
    <tableColumn id="3" name="编号"/>
    <tableColumn id="1" name="任务名称"/>
    <tableColumn id="2" name="完成情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表7" displayName="表7" ref="A5:C18" totalsRowShown="0">
  <autoFilter xmlns:etc="http://www.wps.cn/officeDocument/2017/etCustomData" ref="A5:C18" etc:filterBottomFollowUsedRange="0"/>
  <tableColumns count="3">
    <tableColumn id="1" name="编号"/>
    <tableColumn id="2" name="任务名称"/>
    <tableColumn id="3" name="完成情况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表4" displayName="表4" ref="A5:C43" totalsRowShown="0">
  <autoFilter xmlns:etc="http://www.wps.cn/officeDocument/2017/etCustomData" ref="A5:C43" etc:filterBottomFollowUsedRange="0">
    <filterColumn colId="2">
      <customFilters>
        <customFilter operator="equal" val="✕"/>
      </customFilters>
    </filterColumn>
  </autoFilter>
  <tableColumns count="3">
    <tableColumn id="1" name="编号"/>
    <tableColumn id="2" name="任务名称"/>
    <tableColumn id="3" name="完成情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表5" displayName="表5" ref="A5:C72" totalsRowShown="0">
  <autoFilter xmlns:etc="http://www.wps.cn/officeDocument/2017/etCustomData" ref="A5:C72" etc:filterBottomFollowUsedRange="0"/>
  <tableColumns count="3">
    <tableColumn id="1" name="编号"/>
    <tableColumn id="2" name="任务名称"/>
    <tableColumn id="3" name="完成情况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4" name="表14" displayName="表14" ref="F5:I28" totalsRowShown="0">
  <autoFilter xmlns:etc="http://www.wps.cn/officeDocument/2017/etCustomData" ref="F5:I28" etc:filterBottomFollowUsedRange="0"/>
  <tableColumns count="4">
    <tableColumn id="1" name="エリア"/>
    <tableColumn id="2" name="名前"/>
    <tableColumn id="5" name="完成情况"/>
    <tableColumn id="6" name="備考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6" name="表6" displayName="表6" ref="A5:C28" totalsRowShown="0">
  <autoFilter xmlns:etc="http://www.wps.cn/officeDocument/2017/etCustomData" ref="A5:C28" etc:filterBottomFollowUsedRange="0">
    <filterColumn colId="2">
      <customFilters>
        <customFilter operator="equal" val="✕"/>
      </customFilters>
    </filterColumn>
  </autoFilter>
  <tableColumns count="3">
    <tableColumn id="1" name="编号"/>
    <tableColumn id="2" name="列1"/>
    <tableColumn id="3" name="完成情况" dataDxf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表6_910" displayName="表6_910" ref="A5:C15" totalsRowShown="0">
  <autoFilter xmlns:etc="http://www.wps.cn/officeDocument/2017/etCustomData" ref="A5:C15" etc:filterBottomFollowUsedRange="0"/>
  <tableColumns count="3">
    <tableColumn id="1" name="编号"/>
    <tableColumn id="2" name="任务名称"/>
    <tableColumn id="3" name="完成情况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表6_912" displayName="表6_912" ref="A5:C89" totalsRowShown="0">
  <autoFilter xmlns:etc="http://www.wps.cn/officeDocument/2017/etCustomData" ref="A5:C89" etc:filterBottomFollowUsedRange="0"/>
  <tableColumns count="3">
    <tableColumn id="1" name="编号"/>
    <tableColumn id="2" name="任务名称"/>
    <tableColumn id="3" name="完成情况" dataDxfId="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表6_91213" displayName="表6_91213" ref="A5:C24" totalsRowShown="0">
  <autoFilter xmlns:etc="http://www.wps.cn/officeDocument/2017/etCustomData" ref="A5:C24" etc:filterBottomFollowUsedRange="0"/>
  <tableColumns count="3">
    <tableColumn id="1" name="编号"/>
    <tableColumn id="2" name="任务名称"/>
    <tableColumn id="3" name="完成情况" dataDxfId="1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8" name="表6_9" displayName="表6_9" ref="A5:C61" totalsRowShown="0">
  <autoFilter xmlns:etc="http://www.wps.cn/officeDocument/2017/etCustomData" ref="A5:C61" etc:filterBottomFollowUsedRange="0"/>
  <tableColumns count="3">
    <tableColumn id="1" name="编号"/>
    <tableColumn id="2" name="列1"/>
    <tableColumn id="3" name="完成情况" dataDxfId="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表6_914" displayName="表6_914" ref="A5:C19" totalsRowShown="0">
  <autoFilter xmlns:etc="http://www.wps.cn/officeDocument/2017/etCustomData" ref="A5:C19" etc:filterBottomFollowUsedRange="0"/>
  <tableColumns count="3">
    <tableColumn id="1" name="编号"/>
    <tableColumn id="2" name="任务名称"/>
    <tableColumn id="3" name="完成情况" dataDxfId="1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9" name="表6_914181920" displayName="表6_914181920" ref="A5:C9" totalsRowShown="0">
  <autoFilter xmlns:etc="http://www.wps.cn/officeDocument/2017/etCustomData" ref="A5:C9" etc:filterBottomFollowUsedRange="0"/>
  <tableColumns count="3">
    <tableColumn id="1" name="编号"/>
    <tableColumn id="2" name="任务名称"/>
    <tableColumn id="3" name="完成情况" dataDxfId="1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8" name="表6_9141819" displayName="表6_9141819" ref="A5:C9" totalsRowShown="0">
  <autoFilter xmlns:etc="http://www.wps.cn/officeDocument/2017/etCustomData" ref="A5:C9" etc:filterBottomFollowUsedRange="0"/>
  <tableColumns count="3">
    <tableColumn id="1" name="编号"/>
    <tableColumn id="2" name="任务名称"/>
    <tableColumn id="3" name="完成情况" dataDxfId="1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7" name="表6_91418" displayName="表6_91418" ref="A5:C35" totalsRowShown="0">
  <autoFilter xmlns:etc="http://www.wps.cn/officeDocument/2017/etCustomData" ref="A5:C35" etc:filterBottomFollowUsedRange="0"/>
  <tableColumns count="3">
    <tableColumn id="1" name="编号"/>
    <tableColumn id="2" name="任务名称"/>
    <tableColumn id="3" name="完成情况" dataDxfId="1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20" name="表6_9141821" displayName="表6_9141821" ref="A5:C14" totalsRowShown="0">
  <autoFilter xmlns:etc="http://www.wps.cn/officeDocument/2017/etCustomData" ref="A5:C14" etc:filterBottomFollowUsedRange="0"/>
  <tableColumns count="3">
    <tableColumn id="1" name="编号"/>
    <tableColumn id="2" name="任务名称"/>
    <tableColumn id="3" name="完成情况" dataDxfId="1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21" name="表6_914182122" displayName="表6_914182122" ref="A5:C14" totalsRowShown="0">
  <autoFilter xmlns:etc="http://www.wps.cn/officeDocument/2017/etCustomData" ref="A5:C14" etc:filterBottomFollowUsedRange="0"/>
  <tableColumns count="3">
    <tableColumn id="1" name="编号"/>
    <tableColumn id="2" name="任务名称"/>
    <tableColumn id="3" name="完成情况" dataDxfId="1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22" name="表6_91418212223" displayName="表6_91418212223" ref="A5:C22" totalsRowShown="0">
  <autoFilter xmlns:etc="http://www.wps.cn/officeDocument/2017/etCustomData" ref="A5:C22" etc:filterBottomFollowUsedRange="0"/>
  <tableColumns count="3">
    <tableColumn id="1" name="编号"/>
    <tableColumn id="2" name="任务名称"/>
    <tableColumn id="3" name="完成情况" dataDxfId="18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3" name="表6_9141821222324" displayName="表6_9141821222324" ref="A5:C7" totalsRowShown="0">
  <autoFilter xmlns:etc="http://www.wps.cn/officeDocument/2017/etCustomData" ref="A5:C7" etc:filterBottomFollowUsedRange="0"/>
  <tableColumns count="3">
    <tableColumn id="1" name="编号"/>
    <tableColumn id="2" name="任务名称"/>
    <tableColumn id="3" name="完成情况" dataDxfId="1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3" name="表3" displayName="表3" ref="A2:B48" totalsRowShown="0">
  <autoFilter xmlns:etc="http://www.wps.cn/officeDocument/2017/etCustomData" ref="A2:B48" etc:filterBottomFollowUsedRange="0">
    <filterColumn colId="1">
      <filters blank="1"/>
    </filterColumn>
  </autoFilter>
  <tableColumns count="2">
    <tableColumn id="1" name="人物名"/>
    <tableColumn id="5" name="是否登录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16" name="表16" displayName="表16" ref="A5:D162" totalsRowShown="0">
  <autoFilter xmlns:etc="http://www.wps.cn/officeDocument/2017/etCustomData" ref="A5:D162" etc:filterBottomFollowUsedRange="0"/>
  <tableColumns count="4">
    <tableColumn id="1" name="编号"/>
    <tableColumn id="2" name="地区"/>
    <tableColumn id="3" name="怪物名称"/>
    <tableColumn id="4" name="完成情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xenobladedata.web.fc2.com/data/itm_crystal.html?" TargetMode="Externa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385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amewith.jp/xenoblade/article/show/205238" TargetMode="Externa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s://gamewith.jp/xenoblade/article/show/205240" TargetMode="External"/><Relationship Id="rId3" Type="http://schemas.openxmlformats.org/officeDocument/2006/relationships/hyperlink" Target="https://gamewith.jp/xenoblade/article/show/205236" TargetMode="Externa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401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403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55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57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39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47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404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51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54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56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398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397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395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2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https://gamewith.jp/xenoblade/article/show/205516" TargetMode="External"/><Relationship Id="rId1" Type="http://schemas.openxmlformats.org/officeDocument/2006/relationships/table" Target="../tables/table2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546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B14" sqref="B14"/>
    </sheetView>
  </sheetViews>
  <sheetFormatPr defaultColWidth="9" defaultRowHeight="14" outlineLevelCol="4"/>
  <cols>
    <col min="1" max="2" width="23.3636363636364" customWidth="1"/>
    <col min="3" max="3" width="14.1818181818182" customWidth="1"/>
    <col min="4" max="4" width="11.9090909090909" customWidth="1"/>
    <col min="5" max="5" width="7.72727272727273" customWidth="1"/>
  </cols>
  <sheetData>
    <row r="1" spans="1: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7" t="s">
        <v>5</v>
      </c>
      <c r="B2" s="18" t="str">
        <f t="shared" ref="B2:B18" si="0">HYPERLINK("#'"&amp;A2&amp;"'!A1",A2)</f>
        <v>コロニー9-任務</v>
      </c>
      <c r="C2" s="15">
        <f ca="1" t="shared" ref="C2:C18" si="1">INDIRECT("'"&amp;A2&amp;"'!B2")</f>
        <v>69</v>
      </c>
      <c r="D2" s="19">
        <f ca="1" t="shared" ref="D2:D18" si="2">INDIRECT("'"&amp;B2&amp;"'!B4")</f>
        <v>0.851851851851852</v>
      </c>
      <c r="E2" s="15">
        <f ca="1" t="shared" ref="E2:E18" si="3">INDIRECT("'"&amp;A2&amp;"'!B3")+INDIRECT("'"&amp;A2&amp;"'!B2")</f>
        <v>81</v>
      </c>
    </row>
    <row r="3" spans="1:5">
      <c r="A3" s="15" t="s">
        <v>6</v>
      </c>
      <c r="B3" s="18" t="str">
        <f t="shared" si="0"/>
        <v>テフラ洞窟-任務</v>
      </c>
      <c r="C3" s="15">
        <f ca="1" t="shared" si="1"/>
        <v>8</v>
      </c>
      <c r="D3" s="19">
        <f ca="1" t="shared" si="2"/>
        <v>0.615384615384615</v>
      </c>
      <c r="E3" s="15">
        <f ca="1" t="shared" si="3"/>
        <v>13</v>
      </c>
    </row>
    <row r="4" spans="1:5">
      <c r="A4" s="15" t="s">
        <v>7</v>
      </c>
      <c r="B4" s="18" t="str">
        <f t="shared" si="0"/>
        <v>巨神脚-任務</v>
      </c>
      <c r="C4" s="15">
        <f ca="1" t="shared" si="1"/>
        <v>34</v>
      </c>
      <c r="D4" s="19">
        <f ca="1" t="shared" si="2"/>
        <v>0.894736842105263</v>
      </c>
      <c r="E4" s="15">
        <f ca="1" t="shared" si="3"/>
        <v>38</v>
      </c>
    </row>
    <row r="5" spans="1:5">
      <c r="A5" s="15" t="s">
        <v>8</v>
      </c>
      <c r="B5" s="18" t="str">
        <f t="shared" si="0"/>
        <v>コロニー6-任務</v>
      </c>
      <c r="C5" s="15">
        <f ca="1" t="shared" si="1"/>
        <v>28</v>
      </c>
      <c r="D5" s="19">
        <f ca="1" t="shared" si="2"/>
        <v>0.417910447761194</v>
      </c>
      <c r="E5" s="15">
        <f ca="1" t="shared" si="3"/>
        <v>67</v>
      </c>
    </row>
    <row r="6" spans="1:5">
      <c r="A6" s="15" t="s">
        <v>9</v>
      </c>
      <c r="B6" s="18" t="str">
        <f t="shared" si="0"/>
        <v>燐光の地ザトール-任務</v>
      </c>
      <c r="C6" s="15">
        <f ca="1" t="shared" si="1"/>
        <v>17</v>
      </c>
      <c r="D6" s="19">
        <f ca="1" t="shared" si="2"/>
        <v>0.739130434782609</v>
      </c>
      <c r="E6" s="15">
        <f ca="1" t="shared" si="3"/>
        <v>23</v>
      </c>
    </row>
    <row r="7" spans="1:5">
      <c r="A7" s="15" t="s">
        <v>10</v>
      </c>
      <c r="B7" s="18" t="str">
        <f t="shared" si="0"/>
        <v>マクナ原生林-任務</v>
      </c>
      <c r="C7" s="15">
        <f ca="1" t="shared" si="1"/>
        <v>9</v>
      </c>
      <c r="D7" s="19">
        <f ca="1" t="shared" si="2"/>
        <v>0.9</v>
      </c>
      <c r="E7" s="15">
        <f ca="1" t="shared" si="3"/>
        <v>10</v>
      </c>
    </row>
    <row r="8" spans="1:5">
      <c r="A8" s="15" t="s">
        <v>11</v>
      </c>
      <c r="B8" s="18" t="str">
        <f t="shared" si="0"/>
        <v>サイハテ村-任務</v>
      </c>
      <c r="C8" s="15">
        <f ca="1" t="shared" si="1"/>
        <v>72</v>
      </c>
      <c r="D8" s="19">
        <f ca="1" t="shared" si="2"/>
        <v>0.857142857142857</v>
      </c>
      <c r="E8" s="15">
        <f ca="1" t="shared" si="3"/>
        <v>84</v>
      </c>
    </row>
    <row r="9" spans="1:5">
      <c r="A9" s="15" t="s">
        <v>12</v>
      </c>
      <c r="B9" s="18" t="str">
        <f t="shared" si="0"/>
        <v>エルト海-任務</v>
      </c>
      <c r="C9" s="15">
        <f ca="1" t="shared" si="1"/>
        <v>13</v>
      </c>
      <c r="D9" s="19">
        <f ca="1" t="shared" si="2"/>
        <v>0.684210526315789</v>
      </c>
      <c r="E9" s="15">
        <f ca="1" t="shared" si="3"/>
        <v>19</v>
      </c>
    </row>
    <row r="10" spans="1:5">
      <c r="A10" s="15" t="s">
        <v>13</v>
      </c>
      <c r="B10" s="18" t="str">
        <f t="shared" si="0"/>
        <v>皇都アカモート-任務</v>
      </c>
      <c r="C10" s="15">
        <f ca="1" t="shared" si="1"/>
        <v>55</v>
      </c>
      <c r="D10" s="19">
        <f ca="1" t="shared" si="2"/>
        <v>0.982142857142857</v>
      </c>
      <c r="E10" s="15">
        <f ca="1" t="shared" si="3"/>
        <v>56</v>
      </c>
    </row>
    <row r="11" spans="1:5">
      <c r="A11" s="15" t="s">
        <v>14</v>
      </c>
      <c r="B11" s="18" t="str">
        <f t="shared" si="0"/>
        <v>ヴァラク雪山-任務</v>
      </c>
      <c r="C11" s="15">
        <f ca="1" t="shared" si="1"/>
        <v>12</v>
      </c>
      <c r="D11" s="19">
        <f ca="1" t="shared" si="2"/>
        <v>0.857142857142857</v>
      </c>
      <c r="E11" s="15">
        <f ca="1" t="shared" si="3"/>
        <v>14</v>
      </c>
    </row>
    <row r="12" spans="1:5">
      <c r="A12" s="15" t="s">
        <v>15</v>
      </c>
      <c r="B12" s="18" t="str">
        <f t="shared" si="0"/>
        <v>大剣の渓谷-任務</v>
      </c>
      <c r="C12" s="15">
        <f ca="1" t="shared" si="1"/>
        <v>4</v>
      </c>
      <c r="D12" s="19">
        <f ca="1" t="shared" si="2"/>
        <v>1</v>
      </c>
      <c r="E12" s="15">
        <f ca="1" t="shared" si="3"/>
        <v>4</v>
      </c>
    </row>
    <row r="13" spans="1:5">
      <c r="A13" s="15" t="s">
        <v>16</v>
      </c>
      <c r="B13" s="18" t="str">
        <f t="shared" si="0"/>
        <v>ガラハド要塞-任務</v>
      </c>
      <c r="C13" s="15">
        <f ca="1" t="shared" si="1"/>
        <v>4</v>
      </c>
      <c r="D13" s="19">
        <f ca="1" t="shared" si="2"/>
        <v>1</v>
      </c>
      <c r="E13" s="15">
        <f ca="1" t="shared" si="3"/>
        <v>4</v>
      </c>
    </row>
    <row r="14" spans="1:5">
      <c r="A14" s="15" t="s">
        <v>17</v>
      </c>
      <c r="B14" s="20" t="str">
        <f t="shared" si="0"/>
        <v>落ちた腕-任務</v>
      </c>
      <c r="C14" s="15">
        <f ca="1" t="shared" si="1"/>
        <v>23</v>
      </c>
      <c r="D14" s="19">
        <f ca="1" t="shared" si="2"/>
        <v>0.766666666666667</v>
      </c>
      <c r="E14" s="15">
        <f ca="1" t="shared" si="3"/>
        <v>30</v>
      </c>
    </row>
    <row r="15" spans="1:5">
      <c r="A15" s="15" t="s">
        <v>18</v>
      </c>
      <c r="B15" s="18" t="str">
        <f t="shared" si="0"/>
        <v>機神界フィールド-任務</v>
      </c>
      <c r="C15" s="15">
        <f ca="1" t="shared" si="1"/>
        <v>9</v>
      </c>
      <c r="D15" s="19">
        <f ca="1" t="shared" si="2"/>
        <v>1</v>
      </c>
      <c r="E15" s="15">
        <f ca="1" t="shared" si="3"/>
        <v>9</v>
      </c>
    </row>
    <row r="16" spans="1:5">
      <c r="A16" s="15" t="s">
        <v>19</v>
      </c>
      <c r="B16" s="18" t="str">
        <f t="shared" si="0"/>
        <v>中央工廠-任務</v>
      </c>
      <c r="C16" s="15">
        <f ca="1" t="shared" si="1"/>
        <v>7</v>
      </c>
      <c r="D16" s="19">
        <f ca="1" t="shared" si="2"/>
        <v>0.777777777777778</v>
      </c>
      <c r="E16" s="15">
        <f ca="1" t="shared" si="3"/>
        <v>9</v>
      </c>
    </row>
    <row r="17" spans="1:5">
      <c r="A17" s="15" t="s">
        <v>20</v>
      </c>
      <c r="B17" s="18" t="str">
        <f t="shared" si="0"/>
        <v>帝都アグニラータ-任務</v>
      </c>
      <c r="C17" s="15">
        <f ca="1" t="shared" si="1"/>
        <v>0</v>
      </c>
      <c r="D17" s="19">
        <f ca="1" t="shared" si="2"/>
        <v>0</v>
      </c>
      <c r="E17" s="15">
        <f ca="1" t="shared" si="3"/>
        <v>17</v>
      </c>
    </row>
    <row r="18" spans="1:5">
      <c r="A18" s="15" t="s">
        <v>21</v>
      </c>
      <c r="B18" s="18" t="str">
        <f t="shared" si="0"/>
        <v>監獄島(2回目)-任務</v>
      </c>
      <c r="C18" s="15">
        <f ca="1" t="shared" si="1"/>
        <v>0</v>
      </c>
      <c r="D18" s="19">
        <f ca="1" t="shared" si="2"/>
        <v>0</v>
      </c>
      <c r="E18" s="15">
        <f ca="1" t="shared" si="3"/>
        <v>2</v>
      </c>
    </row>
    <row r="19" spans="1:5">
      <c r="A19" s="15"/>
      <c r="B19" s="21"/>
      <c r="C19" s="15">
        <f ca="1">SUBTOTAL(109,表_ゼノブレイドDE_任务管理__xlsx[已完成任务])</f>
        <v>364</v>
      </c>
      <c r="D19" s="22">
        <f ca="1">表_ゼノブレイドDE_任务管理__xlsx[[#Totals],[已完成任务]]/表_ゼノブレイドDE_任务管理__xlsx[[#Totals],[总数]]</f>
        <v>0.758333333333333</v>
      </c>
      <c r="E19">
        <f ca="1">SUBTOTAL(109,表_ゼノブレイドDE_任务管理__xlsx[总数])</f>
        <v>480</v>
      </c>
    </row>
    <row r="22" spans="1:5">
      <c r="A22" s="4"/>
    </row>
    <row r="23" spans="1:5">
      <c r="A23" s="1" t="s">
        <v>22</v>
      </c>
    </row>
    <row r="26" spans="1:5">
      <c r="A26" s="4" t="s">
        <v>23</v>
      </c>
    </row>
    <row r="27" spans="1:5">
      <c r="A27" t="s">
        <v>24</v>
      </c>
      <c r="B27" t="s">
        <v>25</v>
      </c>
    </row>
    <row r="28" spans="1:5">
      <c r="A28" t="s">
        <v>26</v>
      </c>
      <c r="B28" t="s">
        <v>27</v>
      </c>
    </row>
    <row r="29" spans="1:5">
      <c r="A29" t="s">
        <v>28</v>
      </c>
      <c r="B29" t="s">
        <v>29</v>
      </c>
    </row>
    <row r="30" spans="1:5">
      <c r="A30" s="4" t="s">
        <v>30</v>
      </c>
      <c r="B30" t="s">
        <v>29</v>
      </c>
    </row>
    <row r="31" spans="1:5">
      <c r="A31" t="s">
        <v>31</v>
      </c>
      <c r="B31" t="s">
        <v>32</v>
      </c>
    </row>
    <row r="32" spans="1:5">
      <c r="A32" s="4" t="s">
        <v>33</v>
      </c>
      <c r="B32" t="s">
        <v>34</v>
      </c>
    </row>
    <row r="33" spans="1:2">
      <c r="A33" s="4" t="s">
        <v>35</v>
      </c>
      <c r="B33" t="s">
        <v>34</v>
      </c>
    </row>
    <row r="34" spans="1:2">
      <c r="A34" s="4" t="s">
        <v>36</v>
      </c>
      <c r="B34" t="s">
        <v>34</v>
      </c>
    </row>
  </sheetData>
  <hyperlinks>
    <hyperlink ref="A23" r:id="rId3" display="宝石掉落攻略"/>
  </hyperlink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"/>
  <sheetViews>
    <sheetView workbookViewId="0">
      <selection activeCell="B90" sqref="B90"/>
    </sheetView>
  </sheetViews>
  <sheetFormatPr defaultColWidth="9" defaultRowHeight="14" outlineLevelCol="2"/>
  <cols>
    <col min="2" max="2" width="24.3636363636364" customWidth="1"/>
    <col min="3" max="3" width="11.1818181818182" customWidth="1"/>
  </cols>
  <sheetData>
    <row r="1" spans="1:3">
      <c r="A1" s="16" t="s">
        <v>37</v>
      </c>
      <c r="B1" s="16"/>
    </row>
    <row r="2" spans="1:3">
      <c r="A2" s="2" t="s">
        <v>38</v>
      </c>
      <c r="B2">
        <f>COUNTIF(表1[完成情况],"〇")</f>
        <v>69</v>
      </c>
    </row>
    <row r="3" spans="1:3">
      <c r="A3" s="2" t="s">
        <v>39</v>
      </c>
      <c r="B3">
        <f>COUNTIF(表1[完成情况],"✕")</f>
        <v>12</v>
      </c>
    </row>
    <row r="4" spans="1:3">
      <c r="A4" s="2" t="s">
        <v>40</v>
      </c>
      <c r="B4" s="3">
        <f>B2/MAX(表1[编号])</f>
        <v>0.851851851851852</v>
      </c>
    </row>
    <row r="5" s="15" customFormat="1" spans="1:3">
      <c r="A5" s="15" t="s">
        <v>41</v>
      </c>
      <c r="B5" s="15" t="s">
        <v>42</v>
      </c>
      <c r="C5" s="17" t="s">
        <v>43</v>
      </c>
    </row>
    <row r="6" hidden="1" spans="1:3">
      <c r="A6">
        <v>1</v>
      </c>
      <c r="B6" t="s">
        <v>44</v>
      </c>
      <c r="C6" t="s">
        <v>45</v>
      </c>
    </row>
    <row r="7" hidden="1" spans="1:3">
      <c r="A7">
        <v>2</v>
      </c>
      <c r="B7" t="s">
        <v>46</v>
      </c>
      <c r="C7" t="s">
        <v>45</v>
      </c>
    </row>
    <row r="8" hidden="1" spans="1:3">
      <c r="A8">
        <v>3</v>
      </c>
      <c r="B8" t="s">
        <v>47</v>
      </c>
      <c r="C8" t="s">
        <v>45</v>
      </c>
    </row>
    <row r="9" hidden="1" spans="1:3">
      <c r="A9">
        <v>4</v>
      </c>
      <c r="B9" t="s">
        <v>48</v>
      </c>
      <c r="C9" t="s">
        <v>45</v>
      </c>
    </row>
    <row r="10" spans="1:3">
      <c r="A10">
        <v>5</v>
      </c>
      <c r="B10" s="4" t="s">
        <v>49</v>
      </c>
      <c r="C10" t="s">
        <v>50</v>
      </c>
    </row>
    <row r="11" hidden="1" spans="1:3">
      <c r="A11">
        <v>6</v>
      </c>
      <c r="B11" t="s">
        <v>51</v>
      </c>
      <c r="C11" t="s">
        <v>45</v>
      </c>
    </row>
    <row r="12" hidden="1" spans="1:3">
      <c r="A12">
        <v>7</v>
      </c>
      <c r="B12" t="s">
        <v>52</v>
      </c>
      <c r="C12" t="s">
        <v>45</v>
      </c>
    </row>
    <row r="13" hidden="1" spans="1:3">
      <c r="A13">
        <v>8</v>
      </c>
      <c r="B13" t="s">
        <v>53</v>
      </c>
      <c r="C13" t="s">
        <v>45</v>
      </c>
    </row>
    <row r="14" hidden="1" spans="1:3">
      <c r="A14">
        <v>9</v>
      </c>
      <c r="B14" t="s">
        <v>54</v>
      </c>
      <c r="C14" t="s">
        <v>45</v>
      </c>
    </row>
    <row r="15" hidden="1" spans="1:3">
      <c r="A15">
        <v>10</v>
      </c>
      <c r="B15" t="s">
        <v>55</v>
      </c>
      <c r="C15" t="s">
        <v>45</v>
      </c>
    </row>
    <row r="16" hidden="1" spans="1:3">
      <c r="A16">
        <v>11</v>
      </c>
      <c r="B16" s="4" t="s">
        <v>56</v>
      </c>
      <c r="C16" t="s">
        <v>45</v>
      </c>
    </row>
    <row r="17" hidden="1" spans="1:3">
      <c r="A17">
        <v>12</v>
      </c>
      <c r="B17" t="s">
        <v>57</v>
      </c>
      <c r="C17" t="s">
        <v>45</v>
      </c>
    </row>
    <row r="18" hidden="1" spans="1:3">
      <c r="A18">
        <v>13</v>
      </c>
      <c r="B18" t="s">
        <v>58</v>
      </c>
      <c r="C18" t="s">
        <v>45</v>
      </c>
    </row>
    <row r="19" hidden="1" spans="1:3">
      <c r="A19">
        <v>14</v>
      </c>
      <c r="B19" t="s">
        <v>59</v>
      </c>
      <c r="C19" t="s">
        <v>45</v>
      </c>
    </row>
    <row r="20" hidden="1" spans="1:3">
      <c r="A20">
        <v>15</v>
      </c>
      <c r="B20" t="s">
        <v>60</v>
      </c>
      <c r="C20" t="s">
        <v>45</v>
      </c>
    </row>
    <row r="21" hidden="1" spans="1:3">
      <c r="A21">
        <v>16</v>
      </c>
      <c r="B21" t="s">
        <v>61</v>
      </c>
      <c r="C21" t="s">
        <v>45</v>
      </c>
    </row>
    <row r="22" hidden="1" spans="1:3">
      <c r="A22">
        <v>17</v>
      </c>
      <c r="B22" s="4" t="s">
        <v>62</v>
      </c>
      <c r="C22" t="s">
        <v>45</v>
      </c>
    </row>
    <row r="23" hidden="1" spans="1:3">
      <c r="A23">
        <v>18</v>
      </c>
      <c r="B23" t="s">
        <v>63</v>
      </c>
      <c r="C23" t="s">
        <v>45</v>
      </c>
    </row>
    <row r="24" spans="1:3">
      <c r="A24">
        <v>19</v>
      </c>
      <c r="B24" t="s">
        <v>64</v>
      </c>
      <c r="C24" t="s">
        <v>50</v>
      </c>
    </row>
    <row r="25" hidden="1" spans="1:3">
      <c r="A25">
        <v>20</v>
      </c>
      <c r="B25" t="s">
        <v>65</v>
      </c>
      <c r="C25" t="s">
        <v>45</v>
      </c>
    </row>
    <row r="26" hidden="1" spans="1:3">
      <c r="A26">
        <v>21</v>
      </c>
      <c r="B26" t="s">
        <v>66</v>
      </c>
      <c r="C26" t="s">
        <v>45</v>
      </c>
    </row>
    <row r="27" ht="16.5" hidden="1" spans="1:3">
      <c r="A27">
        <v>22</v>
      </c>
      <c r="B27" s="4" t="s">
        <v>67</v>
      </c>
      <c r="C27" t="s">
        <v>45</v>
      </c>
    </row>
    <row r="28" hidden="1" spans="1:3">
      <c r="A28">
        <v>23</v>
      </c>
      <c r="B28" t="s">
        <v>68</v>
      </c>
      <c r="C28" t="s">
        <v>45</v>
      </c>
    </row>
    <row r="29" hidden="1" spans="1:3">
      <c r="A29">
        <v>24</v>
      </c>
      <c r="B29" t="s">
        <v>69</v>
      </c>
      <c r="C29" t="s">
        <v>45</v>
      </c>
    </row>
    <row r="30" hidden="1" spans="1:3">
      <c r="A30">
        <v>25</v>
      </c>
      <c r="B30" t="s">
        <v>70</v>
      </c>
      <c r="C30" t="s">
        <v>45</v>
      </c>
    </row>
    <row r="31" hidden="1" spans="1:3">
      <c r="A31">
        <v>26</v>
      </c>
      <c r="B31" t="s">
        <v>71</v>
      </c>
      <c r="C31" t="s">
        <v>45</v>
      </c>
    </row>
    <row r="32" spans="1:3">
      <c r="A32">
        <v>27</v>
      </c>
      <c r="B32" t="s">
        <v>72</v>
      </c>
      <c r="C32" t="s">
        <v>50</v>
      </c>
    </row>
    <row r="33" spans="1:3">
      <c r="A33">
        <v>28</v>
      </c>
      <c r="B33" t="s">
        <v>73</v>
      </c>
      <c r="C33" t="s">
        <v>50</v>
      </c>
    </row>
    <row r="34" hidden="1" spans="1:3">
      <c r="A34">
        <v>29</v>
      </c>
      <c r="B34" t="s">
        <v>74</v>
      </c>
      <c r="C34" t="s">
        <v>45</v>
      </c>
    </row>
    <row r="35" spans="1:3">
      <c r="A35">
        <v>30</v>
      </c>
      <c r="B35" t="s">
        <v>75</v>
      </c>
      <c r="C35" t="s">
        <v>50</v>
      </c>
    </row>
    <row r="36" hidden="1" spans="1:3">
      <c r="A36">
        <v>31</v>
      </c>
      <c r="B36" t="s">
        <v>76</v>
      </c>
      <c r="C36" t="s">
        <v>45</v>
      </c>
    </row>
    <row r="37" hidden="1" spans="1:3">
      <c r="A37">
        <v>32</v>
      </c>
      <c r="B37" t="s">
        <v>77</v>
      </c>
      <c r="C37" t="s">
        <v>45</v>
      </c>
    </row>
    <row r="38" hidden="1" spans="1:3">
      <c r="A38">
        <v>33</v>
      </c>
      <c r="B38" s="4" t="s">
        <v>78</v>
      </c>
      <c r="C38" t="s">
        <v>45</v>
      </c>
    </row>
    <row r="39" hidden="1" spans="1:3">
      <c r="A39">
        <v>34</v>
      </c>
      <c r="B39" s="4" t="s">
        <v>79</v>
      </c>
      <c r="C39" t="s">
        <v>45</v>
      </c>
    </row>
    <row r="40" hidden="1" spans="1:3">
      <c r="A40">
        <v>35</v>
      </c>
      <c r="B40" t="s">
        <v>80</v>
      </c>
      <c r="C40" t="s">
        <v>45</v>
      </c>
    </row>
    <row r="41" hidden="1" spans="1:3">
      <c r="A41">
        <v>36</v>
      </c>
      <c r="B41" t="s">
        <v>81</v>
      </c>
      <c r="C41" t="s">
        <v>45</v>
      </c>
    </row>
    <row r="42" hidden="1" spans="1:3">
      <c r="A42">
        <v>37</v>
      </c>
      <c r="B42" s="4" t="s">
        <v>82</v>
      </c>
      <c r="C42" t="s">
        <v>45</v>
      </c>
    </row>
    <row r="43" hidden="1" spans="1:3">
      <c r="A43">
        <v>38</v>
      </c>
      <c r="B43" t="s">
        <v>83</v>
      </c>
      <c r="C43" t="s">
        <v>45</v>
      </c>
    </row>
    <row r="44" hidden="1" spans="1:3">
      <c r="A44">
        <v>39</v>
      </c>
      <c r="B44" t="s">
        <v>84</v>
      </c>
      <c r="C44" t="s">
        <v>45</v>
      </c>
    </row>
    <row r="45" hidden="1" spans="1:3">
      <c r="A45">
        <v>40</v>
      </c>
      <c r="B45" t="s">
        <v>85</v>
      </c>
      <c r="C45" t="s">
        <v>45</v>
      </c>
    </row>
    <row r="46" spans="1:3">
      <c r="A46">
        <v>41</v>
      </c>
      <c r="B46" t="s">
        <v>86</v>
      </c>
      <c r="C46" t="s">
        <v>50</v>
      </c>
    </row>
    <row r="47" spans="1:3">
      <c r="A47">
        <v>42</v>
      </c>
      <c r="B47" s="4" t="s">
        <v>87</v>
      </c>
      <c r="C47" t="s">
        <v>50</v>
      </c>
    </row>
    <row r="48" spans="1:3">
      <c r="A48">
        <v>43</v>
      </c>
      <c r="B48" s="4" t="s">
        <v>88</v>
      </c>
      <c r="C48" t="s">
        <v>50</v>
      </c>
    </row>
    <row r="49" spans="1:3">
      <c r="A49">
        <v>44</v>
      </c>
      <c r="B49" s="4" t="s">
        <v>89</v>
      </c>
      <c r="C49" t="s">
        <v>50</v>
      </c>
    </row>
    <row r="50" spans="1:3">
      <c r="A50">
        <v>45</v>
      </c>
      <c r="B50" s="4" t="s">
        <v>90</v>
      </c>
      <c r="C50" t="s">
        <v>50</v>
      </c>
    </row>
    <row r="51" spans="1:3">
      <c r="A51">
        <v>46</v>
      </c>
      <c r="B51" t="s">
        <v>91</v>
      </c>
      <c r="C51" t="s">
        <v>50</v>
      </c>
    </row>
    <row r="52" hidden="1" spans="1:3">
      <c r="A52">
        <v>47</v>
      </c>
      <c r="B52" t="s">
        <v>92</v>
      </c>
      <c r="C52" t="s">
        <v>45</v>
      </c>
    </row>
    <row r="53" hidden="1" spans="1:3">
      <c r="A53">
        <v>48</v>
      </c>
      <c r="B53" t="s">
        <v>93</v>
      </c>
      <c r="C53" t="s">
        <v>45</v>
      </c>
    </row>
    <row r="54" hidden="1" spans="1:3">
      <c r="A54">
        <v>49</v>
      </c>
      <c r="B54" s="4" t="s">
        <v>94</v>
      </c>
      <c r="C54" t="s">
        <v>45</v>
      </c>
    </row>
    <row r="55" hidden="1" spans="1:3">
      <c r="A55">
        <v>50</v>
      </c>
      <c r="B55" t="s">
        <v>95</v>
      </c>
      <c r="C55" t="s">
        <v>45</v>
      </c>
    </row>
    <row r="56" hidden="1" spans="1:3">
      <c r="A56">
        <v>51</v>
      </c>
      <c r="B56" t="s">
        <v>96</v>
      </c>
      <c r="C56" t="s">
        <v>45</v>
      </c>
    </row>
    <row r="57" hidden="1" spans="1:3">
      <c r="A57">
        <v>52</v>
      </c>
      <c r="B57" t="s">
        <v>97</v>
      </c>
      <c r="C57" t="s">
        <v>45</v>
      </c>
    </row>
    <row r="58" hidden="1" spans="1:3">
      <c r="A58">
        <v>53</v>
      </c>
      <c r="B58" t="s">
        <v>98</v>
      </c>
      <c r="C58" t="s">
        <v>45</v>
      </c>
    </row>
    <row r="59" hidden="1" spans="1:3">
      <c r="A59">
        <v>54</v>
      </c>
      <c r="B59" t="s">
        <v>99</v>
      </c>
      <c r="C59" t="s">
        <v>45</v>
      </c>
    </row>
    <row r="60" hidden="1" spans="1:3">
      <c r="A60">
        <v>55</v>
      </c>
      <c r="B60" t="s">
        <v>100</v>
      </c>
      <c r="C60" t="s">
        <v>45</v>
      </c>
    </row>
    <row r="61" hidden="1" spans="1:3">
      <c r="A61">
        <v>56</v>
      </c>
      <c r="B61" t="s">
        <v>101</v>
      </c>
      <c r="C61" t="s">
        <v>45</v>
      </c>
    </row>
    <row r="62" hidden="1" spans="1:3">
      <c r="A62">
        <v>57</v>
      </c>
      <c r="B62" t="s">
        <v>102</v>
      </c>
      <c r="C62" t="s">
        <v>45</v>
      </c>
    </row>
    <row r="63" hidden="1" spans="1:3">
      <c r="A63">
        <v>58</v>
      </c>
      <c r="B63" t="s">
        <v>103</v>
      </c>
      <c r="C63" t="s">
        <v>45</v>
      </c>
    </row>
    <row r="64" hidden="1" spans="1:3">
      <c r="A64">
        <v>59</v>
      </c>
      <c r="B64" t="s">
        <v>104</v>
      </c>
      <c r="C64" t="s">
        <v>45</v>
      </c>
    </row>
    <row r="65" hidden="1" spans="1:3">
      <c r="A65">
        <v>60</v>
      </c>
      <c r="B65" t="s">
        <v>105</v>
      </c>
      <c r="C65" t="s">
        <v>45</v>
      </c>
    </row>
    <row r="66" hidden="1" spans="1:3">
      <c r="A66">
        <v>61</v>
      </c>
      <c r="B66" t="s">
        <v>106</v>
      </c>
      <c r="C66" t="s">
        <v>45</v>
      </c>
    </row>
    <row r="67" hidden="1" spans="1:3">
      <c r="A67">
        <v>62</v>
      </c>
      <c r="B67" t="s">
        <v>107</v>
      </c>
      <c r="C67" t="s">
        <v>45</v>
      </c>
    </row>
    <row r="68" hidden="1" spans="1:3">
      <c r="A68">
        <v>63</v>
      </c>
      <c r="B68" t="s">
        <v>108</v>
      </c>
      <c r="C68" t="s">
        <v>45</v>
      </c>
    </row>
    <row r="69" hidden="1" spans="1:3">
      <c r="A69">
        <v>64</v>
      </c>
      <c r="B69" t="s">
        <v>109</v>
      </c>
      <c r="C69" t="s">
        <v>45</v>
      </c>
    </row>
    <row r="70" hidden="1" spans="1:3">
      <c r="A70">
        <v>65</v>
      </c>
      <c r="B70" t="s">
        <v>110</v>
      </c>
      <c r="C70" t="s">
        <v>45</v>
      </c>
    </row>
    <row r="71" hidden="1" spans="1:3">
      <c r="A71">
        <v>66</v>
      </c>
      <c r="B71" t="s">
        <v>111</v>
      </c>
      <c r="C71" t="s">
        <v>45</v>
      </c>
    </row>
    <row r="72" hidden="1" spans="1:3">
      <c r="A72">
        <v>67</v>
      </c>
      <c r="B72" t="s">
        <v>112</v>
      </c>
      <c r="C72" t="s">
        <v>45</v>
      </c>
    </row>
    <row r="73" hidden="1" spans="1:3">
      <c r="A73">
        <v>68</v>
      </c>
      <c r="B73" t="s">
        <v>113</v>
      </c>
      <c r="C73" t="s">
        <v>45</v>
      </c>
    </row>
    <row r="74" hidden="1" spans="1:3">
      <c r="A74">
        <v>69</v>
      </c>
      <c r="B74" t="s">
        <v>114</v>
      </c>
      <c r="C74" t="s">
        <v>45</v>
      </c>
    </row>
    <row r="75" hidden="1" spans="1:3">
      <c r="A75">
        <v>70</v>
      </c>
      <c r="B75" t="s">
        <v>115</v>
      </c>
      <c r="C75" t="s">
        <v>45</v>
      </c>
    </row>
    <row r="76" hidden="1" spans="1:3">
      <c r="A76">
        <v>71</v>
      </c>
      <c r="B76" t="s">
        <v>116</v>
      </c>
      <c r="C76" t="s">
        <v>45</v>
      </c>
    </row>
    <row r="77" hidden="1" spans="1:3">
      <c r="A77">
        <v>72</v>
      </c>
      <c r="B77" t="s">
        <v>117</v>
      </c>
      <c r="C77" t="s">
        <v>45</v>
      </c>
    </row>
    <row r="78" hidden="1" spans="1:3">
      <c r="A78">
        <v>73</v>
      </c>
      <c r="B78" t="s">
        <v>118</v>
      </c>
      <c r="C78" t="s">
        <v>45</v>
      </c>
    </row>
    <row r="79" hidden="1" spans="1:3">
      <c r="A79">
        <v>74</v>
      </c>
      <c r="B79" t="s">
        <v>119</v>
      </c>
      <c r="C79" t="s">
        <v>45</v>
      </c>
    </row>
    <row r="80" hidden="1" spans="1:3">
      <c r="A80">
        <v>75</v>
      </c>
      <c r="B80" t="s">
        <v>120</v>
      </c>
      <c r="C80" t="s">
        <v>45</v>
      </c>
    </row>
    <row r="81" hidden="1" spans="1:3">
      <c r="A81">
        <v>76</v>
      </c>
      <c r="B81" t="s">
        <v>121</v>
      </c>
      <c r="C81" t="s">
        <v>45</v>
      </c>
    </row>
    <row r="82" hidden="1" spans="1:3">
      <c r="A82">
        <v>77</v>
      </c>
      <c r="B82" t="s">
        <v>122</v>
      </c>
      <c r="C82" t="s">
        <v>45</v>
      </c>
    </row>
    <row r="83" hidden="1" spans="1:3">
      <c r="A83">
        <v>78</v>
      </c>
      <c r="B83" t="s">
        <v>123</v>
      </c>
      <c r="C83" t="s">
        <v>45</v>
      </c>
    </row>
    <row r="84" spans="1:3">
      <c r="A84">
        <v>79</v>
      </c>
      <c r="B84" t="s">
        <v>124</v>
      </c>
      <c r="C84" t="s">
        <v>50</v>
      </c>
    </row>
    <row r="85" hidden="1" spans="1:3">
      <c r="A85">
        <v>80</v>
      </c>
      <c r="B85" t="s">
        <v>125</v>
      </c>
      <c r="C85" t="s">
        <v>45</v>
      </c>
    </row>
    <row r="86" hidden="1" spans="1:3">
      <c r="A86">
        <v>81</v>
      </c>
      <c r="B86" t="s">
        <v>126</v>
      </c>
      <c r="C86" t="s">
        <v>45</v>
      </c>
    </row>
  </sheetData>
  <mergeCells count="1">
    <mergeCell ref="A1:B1"/>
  </mergeCells>
  <dataValidations count="1">
    <dataValidation type="list" allowBlank="1" showInputMessage="1" showErrorMessage="1" sqref="C6:C1048576">
      <formula1>"〇,✕"</formula1>
    </dataValidation>
  </dataValidations>
  <hyperlinks>
    <hyperlink ref="A1" r:id="rId2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B1"/>
    </sheetView>
  </sheetViews>
  <sheetFormatPr defaultColWidth="9" defaultRowHeight="14" outlineLevelCol="2"/>
  <cols>
    <col min="1" max="1" width="7.27272727272727" customWidth="1"/>
    <col min="2" max="2" width="20" customWidth="1"/>
    <col min="3" max="3" width="11.1818181818182" customWidth="1"/>
  </cols>
  <sheetData>
    <row r="1" spans="1:3">
      <c r="A1" s="1" t="s">
        <v>37</v>
      </c>
      <c r="B1" s="1"/>
    </row>
    <row r="2" spans="1:3">
      <c r="A2" s="2" t="s">
        <v>38</v>
      </c>
      <c r="B2">
        <f>COUNTIF(表7[完成情况],"〇")</f>
        <v>8</v>
      </c>
    </row>
    <row r="3" spans="1:3">
      <c r="A3" s="2" t="s">
        <v>39</v>
      </c>
      <c r="B3">
        <f>COUNTIF(表7[完成情况],"✕")</f>
        <v>5</v>
      </c>
    </row>
    <row r="4" spans="1:3">
      <c r="A4" s="2" t="s">
        <v>40</v>
      </c>
      <c r="B4" s="3">
        <f>B2/MAX(表7[编号])</f>
        <v>0.615384615384615</v>
      </c>
    </row>
    <row r="5" spans="1:3">
      <c r="A5" t="s">
        <v>41</v>
      </c>
      <c r="B5" t="s">
        <v>42</v>
      </c>
      <c r="C5" t="s">
        <v>43</v>
      </c>
    </row>
    <row r="6" ht="16.5" spans="1:3">
      <c r="A6">
        <v>1</v>
      </c>
      <c r="B6" t="s">
        <v>127</v>
      </c>
      <c r="C6" s="6" t="s">
        <v>45</v>
      </c>
    </row>
    <row r="7" ht="16.5" spans="1:3">
      <c r="A7">
        <v>2</v>
      </c>
      <c r="B7" t="s">
        <v>128</v>
      </c>
      <c r="C7" s="6" t="s">
        <v>45</v>
      </c>
    </row>
    <row r="8" ht="16.5" spans="1:3">
      <c r="A8">
        <v>3</v>
      </c>
      <c r="B8" t="s">
        <v>129</v>
      </c>
      <c r="C8" s="6" t="s">
        <v>45</v>
      </c>
    </row>
    <row r="9" ht="16.5" spans="1:3">
      <c r="A9">
        <v>4</v>
      </c>
      <c r="B9" t="s">
        <v>130</v>
      </c>
      <c r="C9" s="6" t="s">
        <v>45</v>
      </c>
    </row>
    <row r="10" ht="16.5" spans="1:3">
      <c r="A10">
        <v>5</v>
      </c>
      <c r="B10" t="s">
        <v>131</v>
      </c>
      <c r="C10" s="6" t="s">
        <v>50</v>
      </c>
    </row>
    <row r="11" ht="16.5" spans="1:3">
      <c r="A11">
        <v>6</v>
      </c>
      <c r="B11" t="s">
        <v>132</v>
      </c>
      <c r="C11" s="6" t="s">
        <v>50</v>
      </c>
    </row>
    <row r="12" ht="16.5" spans="1:3">
      <c r="A12">
        <v>7</v>
      </c>
      <c r="B12" t="s">
        <v>133</v>
      </c>
      <c r="C12" s="6" t="s">
        <v>50</v>
      </c>
    </row>
    <row r="13" ht="16.5" spans="1:3">
      <c r="A13">
        <v>8</v>
      </c>
      <c r="B13" t="s">
        <v>134</v>
      </c>
      <c r="C13" s="6" t="s">
        <v>50</v>
      </c>
    </row>
    <row r="14" ht="16.5" spans="1:3">
      <c r="A14">
        <v>9</v>
      </c>
      <c r="B14" t="s">
        <v>135</v>
      </c>
      <c r="C14" s="6" t="s">
        <v>50</v>
      </c>
    </row>
    <row r="15" ht="16.5" spans="1:3">
      <c r="A15">
        <v>10</v>
      </c>
      <c r="B15" t="s">
        <v>136</v>
      </c>
      <c r="C15" s="6" t="s">
        <v>45</v>
      </c>
    </row>
    <row r="16" ht="16.5" spans="1:3">
      <c r="A16">
        <v>11</v>
      </c>
      <c r="B16" t="s">
        <v>137</v>
      </c>
      <c r="C16" s="6" t="s">
        <v>45</v>
      </c>
    </row>
    <row r="17" ht="16.5" spans="1:3">
      <c r="A17">
        <v>12</v>
      </c>
      <c r="B17" t="s">
        <v>138</v>
      </c>
      <c r="C17" s="6" t="s">
        <v>45</v>
      </c>
    </row>
    <row r="18" ht="16.5" spans="1:3">
      <c r="A18">
        <v>13</v>
      </c>
      <c r="B18" t="s">
        <v>139</v>
      </c>
      <c r="C18" s="6" t="s">
        <v>45</v>
      </c>
    </row>
  </sheetData>
  <mergeCells count="1">
    <mergeCell ref="A1:B1"/>
  </mergeCells>
  <dataValidations count="1">
    <dataValidation type="list" allowBlank="1" showInputMessage="1" showErrorMessage="1" sqref="C6:C18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B24" sqref="B24"/>
    </sheetView>
  </sheetViews>
  <sheetFormatPr defaultColWidth="9" defaultRowHeight="14" outlineLevelCol="2"/>
  <cols>
    <col min="2" max="2" width="22.1818181818182" customWidth="1"/>
    <col min="3" max="3" width="11.1818181818182" customWidth="1"/>
  </cols>
  <sheetData>
    <row r="1" spans="1:3">
      <c r="A1" s="1" t="s">
        <v>37</v>
      </c>
      <c r="B1" s="1"/>
    </row>
    <row r="2" spans="1:3">
      <c r="A2" s="2" t="s">
        <v>38</v>
      </c>
      <c r="B2">
        <f>COUNTIF(表4[完成情况],"〇")</f>
        <v>34</v>
      </c>
    </row>
    <row r="3" spans="1:3">
      <c r="A3" s="2" t="s">
        <v>39</v>
      </c>
      <c r="B3">
        <f>COUNTIF(表4[完成情况],"✕")</f>
        <v>4</v>
      </c>
    </row>
    <row r="4" spans="1:3">
      <c r="A4" s="2" t="s">
        <v>40</v>
      </c>
      <c r="B4" s="3">
        <f>B2/MAX(表4[编号])</f>
        <v>0.894736842105263</v>
      </c>
    </row>
    <row r="5" spans="1:3">
      <c r="A5" t="s">
        <v>41</v>
      </c>
      <c r="B5" t="s">
        <v>42</v>
      </c>
      <c r="C5" t="s">
        <v>43</v>
      </c>
    </row>
    <row r="6" hidden="1" spans="1:3">
      <c r="A6">
        <v>1</v>
      </c>
      <c r="B6" t="s">
        <v>140</v>
      </c>
      <c r="C6" t="s">
        <v>45</v>
      </c>
    </row>
    <row r="7" hidden="1" spans="1:3">
      <c r="A7">
        <v>2</v>
      </c>
      <c r="B7" s="4" t="s">
        <v>141</v>
      </c>
      <c r="C7" t="s">
        <v>45</v>
      </c>
    </row>
    <row r="8" hidden="1" spans="1:3">
      <c r="A8">
        <v>3</v>
      </c>
      <c r="B8" t="s">
        <v>142</v>
      </c>
      <c r="C8" t="s">
        <v>45</v>
      </c>
    </row>
    <row r="9" hidden="1" spans="1:3">
      <c r="A9">
        <v>4</v>
      </c>
      <c r="B9" t="s">
        <v>143</v>
      </c>
      <c r="C9" t="s">
        <v>45</v>
      </c>
    </row>
    <row r="10" ht="16.5" hidden="1" spans="1:3">
      <c r="A10">
        <v>5</v>
      </c>
      <c r="B10" t="s">
        <v>144</v>
      </c>
      <c r="C10" s="6" t="s">
        <v>45</v>
      </c>
    </row>
    <row r="11" hidden="1" spans="1:3">
      <c r="A11">
        <v>6</v>
      </c>
      <c r="B11" t="s">
        <v>145</v>
      </c>
      <c r="C11" t="s">
        <v>45</v>
      </c>
    </row>
    <row r="12" hidden="1" spans="1:3">
      <c r="A12">
        <v>7</v>
      </c>
      <c r="B12" t="s">
        <v>146</v>
      </c>
      <c r="C12" t="s">
        <v>45</v>
      </c>
    </row>
    <row r="13" hidden="1" spans="1:3">
      <c r="A13">
        <v>8</v>
      </c>
      <c r="B13" t="s">
        <v>147</v>
      </c>
      <c r="C13" t="s">
        <v>45</v>
      </c>
    </row>
    <row r="14" hidden="1" spans="1:3">
      <c r="A14">
        <v>9</v>
      </c>
      <c r="B14" t="s">
        <v>148</v>
      </c>
      <c r="C14" t="s">
        <v>45</v>
      </c>
    </row>
    <row r="15" hidden="1" spans="1:3">
      <c r="A15">
        <v>10</v>
      </c>
      <c r="B15" t="s">
        <v>149</v>
      </c>
      <c r="C15" t="s">
        <v>45</v>
      </c>
    </row>
    <row r="16" hidden="1" spans="1:3">
      <c r="A16">
        <v>11</v>
      </c>
      <c r="B16" t="s">
        <v>150</v>
      </c>
      <c r="C16" t="s">
        <v>45</v>
      </c>
    </row>
    <row r="17" hidden="1" spans="1:3">
      <c r="A17">
        <v>12</v>
      </c>
      <c r="B17" t="s">
        <v>151</v>
      </c>
      <c r="C17" t="s">
        <v>45</v>
      </c>
    </row>
    <row r="18" hidden="1" spans="1:3">
      <c r="A18">
        <v>13</v>
      </c>
      <c r="B18" t="s">
        <v>152</v>
      </c>
      <c r="C18" t="s">
        <v>45</v>
      </c>
    </row>
    <row r="19" hidden="1" spans="1:3">
      <c r="A19">
        <v>14</v>
      </c>
      <c r="B19" t="s">
        <v>153</v>
      </c>
      <c r="C19" t="s">
        <v>45</v>
      </c>
    </row>
    <row r="20" hidden="1" spans="1:3">
      <c r="A20">
        <v>15</v>
      </c>
      <c r="B20" t="s">
        <v>154</v>
      </c>
      <c r="C20" t="s">
        <v>45</v>
      </c>
    </row>
    <row r="21" ht="16.5" spans="1:3">
      <c r="A21">
        <v>16</v>
      </c>
      <c r="B21" t="s">
        <v>155</v>
      </c>
      <c r="C21" s="6" t="s">
        <v>50</v>
      </c>
    </row>
    <row r="22" ht="16.5" spans="1:3">
      <c r="A22">
        <v>17</v>
      </c>
      <c r="B22" t="s">
        <v>156</v>
      </c>
      <c r="C22" s="6" t="s">
        <v>50</v>
      </c>
    </row>
    <row r="23" ht="16.5" spans="1:3">
      <c r="A23">
        <v>18</v>
      </c>
      <c r="B23" t="s">
        <v>157</v>
      </c>
      <c r="C23" s="6" t="s">
        <v>50</v>
      </c>
    </row>
    <row r="24" ht="16.5" spans="1:3">
      <c r="A24">
        <v>19</v>
      </c>
      <c r="B24" t="s">
        <v>158</v>
      </c>
      <c r="C24" s="6" t="s">
        <v>50</v>
      </c>
    </row>
    <row r="25" hidden="1" spans="1:3">
      <c r="A25">
        <v>20</v>
      </c>
      <c r="B25" t="s">
        <v>95</v>
      </c>
      <c r="C25" t="s">
        <v>45</v>
      </c>
    </row>
    <row r="26" hidden="1" spans="1:3">
      <c r="A26">
        <v>21</v>
      </c>
      <c r="B26" t="s">
        <v>96</v>
      </c>
      <c r="C26" t="s">
        <v>45</v>
      </c>
    </row>
    <row r="27" hidden="1" spans="1:3">
      <c r="A27">
        <v>22</v>
      </c>
      <c r="B27" t="s">
        <v>97</v>
      </c>
      <c r="C27" t="s">
        <v>45</v>
      </c>
    </row>
    <row r="28" hidden="1" spans="1:3">
      <c r="A28">
        <v>23</v>
      </c>
      <c r="B28" t="s">
        <v>159</v>
      </c>
      <c r="C28" t="s">
        <v>45</v>
      </c>
    </row>
    <row r="29" hidden="1" spans="1:3">
      <c r="A29">
        <v>24</v>
      </c>
      <c r="B29" t="s">
        <v>160</v>
      </c>
      <c r="C29" t="s">
        <v>45</v>
      </c>
    </row>
    <row r="30" hidden="1" spans="1:3">
      <c r="A30">
        <v>25</v>
      </c>
      <c r="B30" t="s">
        <v>101</v>
      </c>
      <c r="C30" t="s">
        <v>45</v>
      </c>
    </row>
    <row r="31" hidden="1" spans="1:3">
      <c r="A31">
        <v>26</v>
      </c>
      <c r="B31" t="s">
        <v>102</v>
      </c>
      <c r="C31" t="s">
        <v>45</v>
      </c>
    </row>
    <row r="32" hidden="1" spans="1:3">
      <c r="A32">
        <v>27</v>
      </c>
      <c r="B32" t="s">
        <v>161</v>
      </c>
      <c r="C32" t="s">
        <v>45</v>
      </c>
    </row>
    <row r="33" hidden="1" spans="1:3">
      <c r="A33">
        <v>28</v>
      </c>
      <c r="B33" t="s">
        <v>162</v>
      </c>
      <c r="C33" t="s">
        <v>45</v>
      </c>
    </row>
    <row r="34" hidden="1" spans="1:3">
      <c r="A34">
        <v>29</v>
      </c>
      <c r="B34" t="s">
        <v>163</v>
      </c>
      <c r="C34" t="s">
        <v>45</v>
      </c>
    </row>
    <row r="35" hidden="1" spans="1:3">
      <c r="A35">
        <v>30</v>
      </c>
      <c r="B35" t="s">
        <v>164</v>
      </c>
      <c r="C35" t="s">
        <v>45</v>
      </c>
    </row>
    <row r="36" hidden="1" spans="1:3">
      <c r="A36">
        <v>31</v>
      </c>
      <c r="B36" t="s">
        <v>112</v>
      </c>
      <c r="C36" t="s">
        <v>45</v>
      </c>
    </row>
    <row r="37" hidden="1" spans="1:3">
      <c r="A37">
        <v>32</v>
      </c>
      <c r="B37" t="s">
        <v>113</v>
      </c>
      <c r="C37" t="s">
        <v>45</v>
      </c>
    </row>
    <row r="38" hidden="1" spans="1:3">
      <c r="A38">
        <v>33</v>
      </c>
      <c r="B38" t="s">
        <v>114</v>
      </c>
      <c r="C38" t="s">
        <v>45</v>
      </c>
    </row>
    <row r="39" hidden="1" spans="1:3">
      <c r="A39">
        <v>34</v>
      </c>
      <c r="B39" t="s">
        <v>115</v>
      </c>
      <c r="C39" t="s">
        <v>45</v>
      </c>
    </row>
    <row r="40" hidden="1" spans="1:3">
      <c r="A40">
        <v>35</v>
      </c>
      <c r="B40" t="s">
        <v>116</v>
      </c>
      <c r="C40" t="s">
        <v>45</v>
      </c>
    </row>
    <row r="41" hidden="1" spans="1:3">
      <c r="A41">
        <v>36</v>
      </c>
      <c r="B41" t="s">
        <v>117</v>
      </c>
      <c r="C41" t="s">
        <v>45</v>
      </c>
    </row>
    <row r="42" hidden="1" spans="1:3">
      <c r="A42">
        <v>37</v>
      </c>
      <c r="B42" t="s">
        <v>120</v>
      </c>
      <c r="C42" t="s">
        <v>45</v>
      </c>
    </row>
    <row r="43" hidden="1" spans="1:3">
      <c r="A43">
        <v>38</v>
      </c>
      <c r="B43" t="s">
        <v>121</v>
      </c>
      <c r="C43" t="s">
        <v>45</v>
      </c>
    </row>
  </sheetData>
  <mergeCells count="1">
    <mergeCell ref="A1:B1"/>
  </mergeCells>
  <dataValidations count="1">
    <dataValidation type="list" allowBlank="1" showInputMessage="1" showErrorMessage="1" sqref="C6:C43">
      <formula1>"〇,✕"</formula1>
    </dataValidation>
  </dataValidations>
  <hyperlinks>
    <hyperlink ref="A1:B1" r:id="rId2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workbookViewId="0">
      <selection activeCell="G10" sqref="G10"/>
    </sheetView>
  </sheetViews>
  <sheetFormatPr defaultColWidth="9" defaultRowHeight="14"/>
  <cols>
    <col min="2" max="2" width="26.5454545454545" customWidth="1"/>
    <col min="3" max="3" width="11.1818181818182" customWidth="1"/>
    <col min="6" max="7" width="15.7272727272727" customWidth="1"/>
    <col min="8" max="8" width="13.8181818181818" customWidth="1"/>
    <col min="9" max="9" width="10.2727272727273" customWidth="1"/>
  </cols>
  <sheetData>
    <row r="1" spans="1:9">
      <c r="A1" s="1" t="s">
        <v>37</v>
      </c>
      <c r="B1" s="1"/>
    </row>
    <row r="2" spans="1:9">
      <c r="A2" s="2" t="s">
        <v>38</v>
      </c>
      <c r="B2">
        <f>COUNTIF(表5[完成情况],"〇")</f>
        <v>28</v>
      </c>
    </row>
    <row r="3" spans="1:9">
      <c r="A3" s="2" t="s">
        <v>39</v>
      </c>
      <c r="B3">
        <f>COUNTIF(表5[完成情况],"✕")</f>
        <v>39</v>
      </c>
    </row>
    <row r="4" spans="1:9">
      <c r="A4" s="2" t="s">
        <v>40</v>
      </c>
      <c r="B4" s="3">
        <f>B2/MAX(表5[编号])</f>
        <v>0.417910447761194</v>
      </c>
    </row>
    <row r="5" ht="16.5" spans="1:9">
      <c r="A5" s="11" t="s">
        <v>41</v>
      </c>
      <c r="B5" s="12" t="s">
        <v>42</v>
      </c>
      <c r="C5" s="13" t="s">
        <v>43</v>
      </c>
      <c r="F5" t="s">
        <v>24</v>
      </c>
      <c r="G5" t="s">
        <v>165</v>
      </c>
      <c r="H5" t="s">
        <v>43</v>
      </c>
      <c r="I5" s="14" t="s">
        <v>166</v>
      </c>
    </row>
    <row r="6" ht="16.5" spans="1:9">
      <c r="A6">
        <v>1</v>
      </c>
      <c r="B6" t="s">
        <v>167</v>
      </c>
      <c r="C6" s="6" t="s">
        <v>45</v>
      </c>
      <c r="F6" t="s">
        <v>168</v>
      </c>
      <c r="G6" t="s">
        <v>169</v>
      </c>
    </row>
    <row r="7" ht="16.5" spans="1:9">
      <c r="A7">
        <v>2</v>
      </c>
      <c r="B7" t="s">
        <v>170</v>
      </c>
      <c r="C7" s="6" t="s">
        <v>45</v>
      </c>
      <c r="F7" t="s">
        <v>168</v>
      </c>
      <c r="G7" s="5" t="s">
        <v>171</v>
      </c>
      <c r="H7" s="6" t="s">
        <v>45</v>
      </c>
    </row>
    <row r="8" ht="16.5" spans="1:9">
      <c r="A8">
        <v>3</v>
      </c>
      <c r="B8" t="s">
        <v>172</v>
      </c>
      <c r="C8" s="6" t="s">
        <v>45</v>
      </c>
      <c r="F8" t="s">
        <v>168</v>
      </c>
      <c r="G8" s="5" t="s">
        <v>173</v>
      </c>
    </row>
    <row r="9" ht="16.5" spans="1:9">
      <c r="A9">
        <v>4</v>
      </c>
      <c r="B9" s="4" t="s">
        <v>174</v>
      </c>
      <c r="C9" s="6" t="s">
        <v>45</v>
      </c>
      <c r="F9" t="s">
        <v>168</v>
      </c>
      <c r="G9" t="s">
        <v>175</v>
      </c>
    </row>
    <row r="10" ht="16.5" spans="1:9">
      <c r="A10">
        <v>5</v>
      </c>
      <c r="B10" t="s">
        <v>176</v>
      </c>
      <c r="C10" s="6" t="s">
        <v>45</v>
      </c>
      <c r="F10" t="s">
        <v>168</v>
      </c>
      <c r="G10" t="s">
        <v>177</v>
      </c>
    </row>
    <row r="11" ht="16.5" spans="1:9">
      <c r="A11">
        <v>6</v>
      </c>
      <c r="B11" t="s">
        <v>178</v>
      </c>
      <c r="C11" s="6" t="s">
        <v>45</v>
      </c>
      <c r="F11" t="s">
        <v>168</v>
      </c>
      <c r="G11" t="s">
        <v>179</v>
      </c>
    </row>
    <row r="12" ht="16.5" spans="1:9">
      <c r="A12">
        <v>7</v>
      </c>
      <c r="B12" t="s">
        <v>180</v>
      </c>
      <c r="C12" s="6" t="s">
        <v>45</v>
      </c>
      <c r="F12" t="s">
        <v>168</v>
      </c>
      <c r="G12" t="s">
        <v>181</v>
      </c>
    </row>
    <row r="13" ht="16.5" spans="1:9">
      <c r="A13">
        <v>8</v>
      </c>
      <c r="B13" t="s">
        <v>182</v>
      </c>
      <c r="C13" s="6" t="s">
        <v>45</v>
      </c>
      <c r="F13" t="s">
        <v>183</v>
      </c>
      <c r="G13" s="4" t="s">
        <v>184</v>
      </c>
      <c r="H13" s="6" t="s">
        <v>45</v>
      </c>
    </row>
    <row r="14" ht="16.5" spans="1:9">
      <c r="A14">
        <v>9</v>
      </c>
      <c r="B14" t="s">
        <v>185</v>
      </c>
      <c r="C14" s="6" t="s">
        <v>45</v>
      </c>
      <c r="F14" t="s">
        <v>183</v>
      </c>
      <c r="G14" t="s">
        <v>186</v>
      </c>
      <c r="H14" s="6" t="s">
        <v>45</v>
      </c>
    </row>
    <row r="15" ht="16.5" spans="1:9">
      <c r="A15">
        <v>10</v>
      </c>
      <c r="B15" s="4" t="s">
        <v>187</v>
      </c>
      <c r="C15" s="6" t="s">
        <v>45</v>
      </c>
      <c r="F15" t="s">
        <v>183</v>
      </c>
      <c r="G15" t="s">
        <v>188</v>
      </c>
      <c r="H15" s="6" t="s">
        <v>45</v>
      </c>
    </row>
    <row r="16" ht="16.5" spans="1:9">
      <c r="A16">
        <v>11</v>
      </c>
      <c r="B16" t="s">
        <v>189</v>
      </c>
      <c r="C16" s="6" t="s">
        <v>45</v>
      </c>
      <c r="F16" t="s">
        <v>183</v>
      </c>
      <c r="G16" t="s">
        <v>190</v>
      </c>
      <c r="H16" s="6" t="s">
        <v>45</v>
      </c>
    </row>
    <row r="17" ht="16.5" spans="1:9">
      <c r="A17">
        <v>12</v>
      </c>
      <c r="B17" t="s">
        <v>191</v>
      </c>
      <c r="C17" s="6" t="s">
        <v>45</v>
      </c>
      <c r="F17" t="s">
        <v>183</v>
      </c>
      <c r="G17" s="5" t="s">
        <v>192</v>
      </c>
    </row>
    <row r="18" ht="16.5" spans="1:9">
      <c r="A18">
        <v>13</v>
      </c>
      <c r="B18" t="s">
        <v>193</v>
      </c>
      <c r="C18" s="6" t="s">
        <v>45</v>
      </c>
      <c r="F18" t="s">
        <v>183</v>
      </c>
      <c r="G18" s="5" t="s">
        <v>194</v>
      </c>
    </row>
    <row r="19" ht="16.5" spans="1:9">
      <c r="A19">
        <v>14</v>
      </c>
      <c r="B19" t="s">
        <v>195</v>
      </c>
      <c r="C19" s="6" t="s">
        <v>45</v>
      </c>
      <c r="F19" t="s">
        <v>196</v>
      </c>
      <c r="G19" t="s">
        <v>197</v>
      </c>
      <c r="H19" s="6" t="s">
        <v>45</v>
      </c>
    </row>
    <row r="20" ht="16.5" spans="1:9">
      <c r="A20">
        <v>15</v>
      </c>
      <c r="B20" s="4" t="s">
        <v>198</v>
      </c>
      <c r="C20" s="6" t="s">
        <v>50</v>
      </c>
      <c r="F20" t="s">
        <v>196</v>
      </c>
      <c r="G20" t="s">
        <v>199</v>
      </c>
      <c r="H20" s="6" t="s">
        <v>45</v>
      </c>
    </row>
    <row r="21" ht="16.5" spans="1:9">
      <c r="A21">
        <v>16</v>
      </c>
      <c r="B21" t="s">
        <v>200</v>
      </c>
      <c r="C21" s="6" t="s">
        <v>50</v>
      </c>
      <c r="F21" t="s">
        <v>196</v>
      </c>
      <c r="G21" t="s">
        <v>201</v>
      </c>
    </row>
    <row r="22" ht="16.5" spans="1:9">
      <c r="A22">
        <v>17</v>
      </c>
      <c r="B22" t="s">
        <v>202</v>
      </c>
      <c r="C22" s="6" t="s">
        <v>50</v>
      </c>
      <c r="F22" t="s">
        <v>196</v>
      </c>
      <c r="G22" t="s">
        <v>203</v>
      </c>
      <c r="I22" s="4" t="s">
        <v>204</v>
      </c>
    </row>
    <row r="23" ht="16.5" spans="1:9">
      <c r="A23">
        <v>18</v>
      </c>
      <c r="B23" t="s">
        <v>205</v>
      </c>
      <c r="C23" s="6" t="s">
        <v>50</v>
      </c>
      <c r="F23" t="s">
        <v>196</v>
      </c>
      <c r="G23" s="4" t="s">
        <v>206</v>
      </c>
    </row>
    <row r="24" ht="16.5" spans="1:9">
      <c r="A24">
        <v>19</v>
      </c>
      <c r="B24" t="s">
        <v>207</v>
      </c>
      <c r="C24" s="6" t="s">
        <v>50</v>
      </c>
      <c r="F24" t="s">
        <v>196</v>
      </c>
      <c r="G24" t="s">
        <v>208</v>
      </c>
    </row>
    <row r="25" ht="16.5" spans="1:9">
      <c r="A25">
        <v>20</v>
      </c>
      <c r="B25" t="s">
        <v>209</v>
      </c>
      <c r="C25" s="6" t="s">
        <v>50</v>
      </c>
      <c r="F25" t="s">
        <v>196</v>
      </c>
      <c r="G25" s="5" t="s">
        <v>210</v>
      </c>
    </row>
    <row r="26" ht="16.5" spans="1:9">
      <c r="A26">
        <v>21</v>
      </c>
      <c r="B26" t="s">
        <v>211</v>
      </c>
      <c r="C26" s="6" t="s">
        <v>50</v>
      </c>
      <c r="F26" t="s">
        <v>196</v>
      </c>
      <c r="G26" s="5" t="s">
        <v>212</v>
      </c>
    </row>
    <row r="27" ht="16.5" spans="1:9">
      <c r="A27">
        <v>22</v>
      </c>
      <c r="B27" t="s">
        <v>213</v>
      </c>
      <c r="C27" s="6" t="s">
        <v>50</v>
      </c>
      <c r="F27" t="s">
        <v>214</v>
      </c>
      <c r="G27" t="s">
        <v>215</v>
      </c>
    </row>
    <row r="28" ht="16.5" spans="1:9">
      <c r="A28">
        <v>23</v>
      </c>
      <c r="B28" t="s">
        <v>216</v>
      </c>
      <c r="C28" s="6" t="s">
        <v>50</v>
      </c>
      <c r="F28" t="s">
        <v>214</v>
      </c>
      <c r="G28" t="s">
        <v>217</v>
      </c>
      <c r="I28" s="4" t="s">
        <v>204</v>
      </c>
    </row>
    <row r="29" ht="16.5" spans="1:9">
      <c r="A29">
        <v>24</v>
      </c>
      <c r="B29" t="s">
        <v>218</v>
      </c>
      <c r="C29" s="6" t="s">
        <v>50</v>
      </c>
    </row>
    <row r="30" ht="16.5" spans="1:9">
      <c r="A30">
        <v>25</v>
      </c>
      <c r="B30" t="s">
        <v>219</v>
      </c>
      <c r="C30" s="6" t="s">
        <v>50</v>
      </c>
    </row>
    <row r="31" ht="16.5" spans="1:9">
      <c r="A31">
        <v>26</v>
      </c>
      <c r="B31" t="s">
        <v>220</v>
      </c>
      <c r="C31" s="6" t="s">
        <v>50</v>
      </c>
    </row>
    <row r="32" ht="16.5" spans="1:9">
      <c r="A32">
        <v>27</v>
      </c>
      <c r="B32" t="s">
        <v>221</v>
      </c>
      <c r="C32" s="6" t="s">
        <v>50</v>
      </c>
    </row>
    <row r="33" ht="16.5" spans="1:3">
      <c r="A33">
        <v>28</v>
      </c>
      <c r="B33" t="s">
        <v>222</v>
      </c>
      <c r="C33" s="6" t="s">
        <v>50</v>
      </c>
    </row>
    <row r="34" ht="16.5" spans="1:3">
      <c r="A34">
        <v>29</v>
      </c>
      <c r="B34" t="s">
        <v>223</v>
      </c>
      <c r="C34" s="6" t="s">
        <v>50</v>
      </c>
    </row>
    <row r="35" ht="16.5" spans="1:3">
      <c r="A35">
        <v>30</v>
      </c>
      <c r="B35" t="s">
        <v>224</v>
      </c>
      <c r="C35" s="6" t="s">
        <v>50</v>
      </c>
    </row>
    <row r="36" ht="16.5" spans="1:3">
      <c r="A36">
        <v>31</v>
      </c>
      <c r="B36" t="s">
        <v>225</v>
      </c>
      <c r="C36" s="6" t="s">
        <v>50</v>
      </c>
    </row>
    <row r="37" ht="16.5" spans="1:3">
      <c r="A37">
        <v>32</v>
      </c>
      <c r="B37" t="s">
        <v>226</v>
      </c>
      <c r="C37" s="6" t="s">
        <v>50</v>
      </c>
    </row>
    <row r="38" ht="16.5" spans="1:3">
      <c r="A38">
        <v>33</v>
      </c>
      <c r="B38" t="s">
        <v>227</v>
      </c>
      <c r="C38" s="6" t="s">
        <v>50</v>
      </c>
    </row>
    <row r="39" ht="16.5" spans="1:3">
      <c r="A39">
        <v>34</v>
      </c>
      <c r="B39" t="s">
        <v>228</v>
      </c>
      <c r="C39" s="6" t="s">
        <v>50</v>
      </c>
    </row>
    <row r="40" ht="16.5" spans="1:3">
      <c r="A40">
        <v>35</v>
      </c>
      <c r="B40" t="s">
        <v>229</v>
      </c>
      <c r="C40" s="6" t="s">
        <v>50</v>
      </c>
    </row>
    <row r="41" ht="16.5" spans="1:3">
      <c r="A41">
        <v>36</v>
      </c>
      <c r="B41" t="s">
        <v>230</v>
      </c>
      <c r="C41" s="6" t="s">
        <v>50</v>
      </c>
    </row>
    <row r="42" ht="16.5" spans="1:3">
      <c r="A42">
        <v>37</v>
      </c>
      <c r="B42" t="s">
        <v>231</v>
      </c>
      <c r="C42" s="6" t="s">
        <v>50</v>
      </c>
    </row>
    <row r="43" ht="16.5" spans="1:3">
      <c r="A43">
        <v>38</v>
      </c>
      <c r="B43" t="s">
        <v>232</v>
      </c>
      <c r="C43" s="6" t="s">
        <v>50</v>
      </c>
    </row>
    <row r="44" ht="16.5" spans="1:3">
      <c r="A44">
        <v>39</v>
      </c>
      <c r="B44" t="s">
        <v>233</v>
      </c>
      <c r="C44" s="6" t="s">
        <v>50</v>
      </c>
    </row>
    <row r="45" ht="16.5" spans="1:3">
      <c r="A45">
        <v>40</v>
      </c>
      <c r="B45" t="s">
        <v>234</v>
      </c>
      <c r="C45" s="6" t="s">
        <v>50</v>
      </c>
    </row>
    <row r="46" ht="16.5" spans="1:3">
      <c r="A46">
        <v>41</v>
      </c>
      <c r="B46" t="s">
        <v>235</v>
      </c>
      <c r="C46" s="6" t="s">
        <v>50</v>
      </c>
    </row>
    <row r="47" ht="16.5" spans="1:3">
      <c r="A47">
        <v>42</v>
      </c>
      <c r="B47" t="s">
        <v>236</v>
      </c>
      <c r="C47" s="6" t="s">
        <v>50</v>
      </c>
    </row>
    <row r="48" ht="16.5" spans="1:3">
      <c r="A48">
        <v>43</v>
      </c>
      <c r="B48" t="s">
        <v>237</v>
      </c>
      <c r="C48" s="6" t="s">
        <v>50</v>
      </c>
    </row>
    <row r="49" ht="16.5" spans="1:3">
      <c r="A49">
        <v>44</v>
      </c>
      <c r="B49" t="s">
        <v>238</v>
      </c>
      <c r="C49" s="6" t="s">
        <v>45</v>
      </c>
    </row>
    <row r="50" ht="16.5" spans="1:3">
      <c r="A50">
        <v>45</v>
      </c>
      <c r="B50" t="s">
        <v>239</v>
      </c>
      <c r="C50" s="6" t="s">
        <v>45</v>
      </c>
    </row>
    <row r="51" ht="16.5" spans="1:3">
      <c r="A51">
        <v>46</v>
      </c>
      <c r="B51" t="s">
        <v>240</v>
      </c>
      <c r="C51" s="6" t="s">
        <v>45</v>
      </c>
    </row>
    <row r="52" ht="16.5" spans="1:3">
      <c r="A52">
        <v>47</v>
      </c>
      <c r="B52" t="s">
        <v>241</v>
      </c>
      <c r="C52" s="6" t="s">
        <v>45</v>
      </c>
    </row>
    <row r="53" ht="16.5" spans="1:3">
      <c r="A53">
        <v>48</v>
      </c>
      <c r="B53" t="s">
        <v>242</v>
      </c>
      <c r="C53" s="6" t="s">
        <v>45</v>
      </c>
    </row>
    <row r="54" ht="16.5" spans="1:3">
      <c r="A54">
        <v>49</v>
      </c>
      <c r="B54" t="s">
        <v>243</v>
      </c>
      <c r="C54" s="6" t="s">
        <v>45</v>
      </c>
    </row>
    <row r="55" ht="16.5" spans="1:3">
      <c r="A55">
        <v>50</v>
      </c>
      <c r="B55" t="s">
        <v>244</v>
      </c>
      <c r="C55" s="6" t="s">
        <v>45</v>
      </c>
    </row>
    <row r="56" ht="16.5" spans="1:3">
      <c r="A56">
        <v>51</v>
      </c>
      <c r="B56" t="s">
        <v>245</v>
      </c>
      <c r="C56" s="6" t="s">
        <v>45</v>
      </c>
    </row>
    <row r="57" ht="16.5" spans="1:3">
      <c r="A57">
        <v>52</v>
      </c>
      <c r="B57" t="s">
        <v>246</v>
      </c>
      <c r="C57" s="6" t="s">
        <v>45</v>
      </c>
    </row>
    <row r="58" ht="16.5" spans="1:3">
      <c r="A58">
        <v>53</v>
      </c>
      <c r="B58" t="s">
        <v>247</v>
      </c>
      <c r="C58" s="6" t="s">
        <v>50</v>
      </c>
    </row>
    <row r="59" ht="16.5" spans="1:3">
      <c r="A59">
        <v>54</v>
      </c>
      <c r="B59" t="s">
        <v>248</v>
      </c>
      <c r="C59" s="6" t="s">
        <v>45</v>
      </c>
    </row>
    <row r="60" ht="16.5" spans="1:3">
      <c r="A60">
        <v>55</v>
      </c>
      <c r="B60" t="s">
        <v>249</v>
      </c>
      <c r="C60" s="6" t="s">
        <v>45</v>
      </c>
    </row>
    <row r="61" ht="16.5" spans="1:3">
      <c r="A61">
        <v>56</v>
      </c>
      <c r="B61" t="s">
        <v>250</v>
      </c>
      <c r="C61" s="6" t="s">
        <v>45</v>
      </c>
    </row>
    <row r="62" ht="16.5" spans="1:3">
      <c r="A62">
        <v>57</v>
      </c>
      <c r="B62" t="s">
        <v>251</v>
      </c>
      <c r="C62" s="6" t="s">
        <v>50</v>
      </c>
    </row>
    <row r="63" ht="16.5" spans="1:3">
      <c r="A63">
        <v>58</v>
      </c>
      <c r="B63" t="s">
        <v>252</v>
      </c>
      <c r="C63" s="6" t="s">
        <v>50</v>
      </c>
    </row>
    <row r="64" ht="16.5" spans="1:3">
      <c r="A64">
        <v>59</v>
      </c>
      <c r="B64" t="s">
        <v>253</v>
      </c>
      <c r="C64" s="6" t="s">
        <v>50</v>
      </c>
    </row>
    <row r="65" ht="16.5" spans="1:3">
      <c r="A65">
        <v>60</v>
      </c>
      <c r="B65" t="s">
        <v>254</v>
      </c>
      <c r="C65" s="6" t="s">
        <v>50</v>
      </c>
    </row>
    <row r="66" ht="16.5" spans="1:3">
      <c r="A66">
        <v>61</v>
      </c>
      <c r="B66" t="s">
        <v>255</v>
      </c>
      <c r="C66" s="6" t="s">
        <v>50</v>
      </c>
    </row>
    <row r="67" ht="16.5" spans="1:3">
      <c r="A67">
        <v>62</v>
      </c>
      <c r="B67" t="s">
        <v>256</v>
      </c>
      <c r="C67" s="6" t="s">
        <v>50</v>
      </c>
    </row>
    <row r="68" ht="16.5" spans="1:3">
      <c r="A68">
        <v>63</v>
      </c>
      <c r="B68" t="s">
        <v>257</v>
      </c>
      <c r="C68" s="6" t="s">
        <v>45</v>
      </c>
    </row>
    <row r="69" ht="16.5" spans="1:3">
      <c r="A69">
        <v>64</v>
      </c>
      <c r="B69" t="s">
        <v>258</v>
      </c>
      <c r="C69" s="6" t="s">
        <v>45</v>
      </c>
    </row>
    <row r="70" ht="16.5" spans="1:3">
      <c r="A70">
        <v>65</v>
      </c>
      <c r="B70" t="s">
        <v>259</v>
      </c>
      <c r="C70" s="6" t="s">
        <v>50</v>
      </c>
    </row>
    <row r="71" ht="16.5" spans="1:3">
      <c r="A71">
        <v>66</v>
      </c>
      <c r="B71" t="s">
        <v>260</v>
      </c>
      <c r="C71" s="6" t="s">
        <v>50</v>
      </c>
    </row>
    <row r="72" ht="16.5" spans="1:3">
      <c r="A72">
        <v>67</v>
      </c>
      <c r="B72" t="s">
        <v>261</v>
      </c>
      <c r="C72" s="6" t="s">
        <v>50</v>
      </c>
    </row>
  </sheetData>
  <mergeCells count="1">
    <mergeCell ref="A1:B1"/>
  </mergeCells>
  <dataValidations count="1">
    <dataValidation type="list" allowBlank="1" showInputMessage="1" showErrorMessage="1" sqref="H7 C6:C72 H13:H16 H19:H20">
      <formula1>"〇,✕"</formula1>
    </dataValidation>
  </dataValidations>
  <hyperlinks>
    <hyperlink ref="A1" r:id="rId3" display="攻略"/>
    <hyperlink ref="A1:B1" r:id="rId4" display="攻略"/>
  </hyperlink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A1" sqref="A1:B1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37</v>
      </c>
      <c r="B1" s="1"/>
    </row>
    <row r="2" spans="1:3">
      <c r="A2" s="2" t="s">
        <v>38</v>
      </c>
      <c r="B2">
        <f>COUNTIF(表6[完成情况],"〇")</f>
        <v>17</v>
      </c>
    </row>
    <row r="3" spans="1:3">
      <c r="A3" s="2" t="s">
        <v>39</v>
      </c>
      <c r="B3">
        <f>COUNTIF(表6[完成情况],"✕")</f>
        <v>6</v>
      </c>
    </row>
    <row r="4" spans="1:3">
      <c r="A4" s="2" t="s">
        <v>40</v>
      </c>
      <c r="B4" s="3">
        <f>B2/MAX(表6[编号])</f>
        <v>0.739130434782609</v>
      </c>
    </row>
    <row r="5" spans="1:3">
      <c r="A5" t="s">
        <v>41</v>
      </c>
      <c r="B5" t="s">
        <v>262</v>
      </c>
      <c r="C5" t="s">
        <v>43</v>
      </c>
    </row>
    <row r="6" ht="16.5" hidden="1" spans="1:3">
      <c r="A6">
        <v>1</v>
      </c>
      <c r="B6" t="s">
        <v>263</v>
      </c>
      <c r="C6" s="6" t="s">
        <v>45</v>
      </c>
    </row>
    <row r="7" ht="16.5" hidden="1" spans="1:3">
      <c r="A7">
        <v>2</v>
      </c>
      <c r="B7" t="s">
        <v>264</v>
      </c>
      <c r="C7" s="6" t="s">
        <v>45</v>
      </c>
    </row>
    <row r="8" ht="16.5" hidden="1" spans="1:3">
      <c r="A8">
        <v>3</v>
      </c>
      <c r="B8" t="s">
        <v>265</v>
      </c>
      <c r="C8" s="6" t="s">
        <v>45</v>
      </c>
    </row>
    <row r="9" ht="16.5" hidden="1" spans="1:3">
      <c r="A9">
        <v>4</v>
      </c>
      <c r="B9" t="s">
        <v>266</v>
      </c>
      <c r="C9" s="6" t="s">
        <v>45</v>
      </c>
    </row>
    <row r="10" ht="16.5" hidden="1" spans="1:3">
      <c r="A10">
        <v>5</v>
      </c>
      <c r="B10" t="s">
        <v>267</v>
      </c>
      <c r="C10" s="6" t="s">
        <v>45</v>
      </c>
    </row>
    <row r="11" ht="16.5" hidden="1" spans="1:3">
      <c r="A11">
        <v>6</v>
      </c>
      <c r="B11" t="s">
        <v>268</v>
      </c>
      <c r="C11" s="6" t="s">
        <v>45</v>
      </c>
    </row>
    <row r="12" ht="16.5" spans="1:3">
      <c r="A12">
        <v>7</v>
      </c>
      <c r="B12" t="s">
        <v>269</v>
      </c>
      <c r="C12" s="6" t="s">
        <v>45</v>
      </c>
    </row>
    <row r="13" ht="16.5" spans="1:3">
      <c r="A13">
        <v>8</v>
      </c>
      <c r="B13" t="s">
        <v>270</v>
      </c>
      <c r="C13" s="6" t="s">
        <v>45</v>
      </c>
    </row>
    <row r="14" ht="16.5" spans="1:3">
      <c r="A14">
        <v>9</v>
      </c>
      <c r="B14" t="s">
        <v>271</v>
      </c>
      <c r="C14" s="6" t="s">
        <v>45</v>
      </c>
    </row>
    <row r="15" ht="16.5" spans="1:3">
      <c r="A15">
        <v>10</v>
      </c>
      <c r="B15" t="s">
        <v>272</v>
      </c>
      <c r="C15" s="6" t="s">
        <v>45</v>
      </c>
    </row>
    <row r="16" ht="16.5" spans="1:3">
      <c r="A16">
        <v>11</v>
      </c>
      <c r="B16" t="s">
        <v>273</v>
      </c>
      <c r="C16" s="6" t="s">
        <v>45</v>
      </c>
    </row>
    <row r="17" ht="16.5" hidden="1" spans="1:3">
      <c r="A17">
        <v>12</v>
      </c>
      <c r="B17" t="s">
        <v>274</v>
      </c>
      <c r="C17" s="6" t="s">
        <v>45</v>
      </c>
    </row>
    <row r="18" ht="16.5" hidden="1" spans="1:3">
      <c r="A18">
        <v>13</v>
      </c>
      <c r="B18" t="s">
        <v>275</v>
      </c>
      <c r="C18" s="6" t="s">
        <v>45</v>
      </c>
    </row>
    <row r="19" ht="16.5" hidden="1" spans="1:3">
      <c r="A19">
        <v>14</v>
      </c>
      <c r="B19" t="s">
        <v>276</v>
      </c>
      <c r="C19" s="6" t="s">
        <v>45</v>
      </c>
    </row>
    <row r="20" ht="16.5" hidden="1" spans="1:3">
      <c r="A20">
        <v>15</v>
      </c>
      <c r="B20" t="s">
        <v>277</v>
      </c>
      <c r="C20" s="6" t="s">
        <v>45</v>
      </c>
    </row>
    <row r="21" ht="16.5" spans="1:3">
      <c r="A21">
        <v>16</v>
      </c>
      <c r="B21" t="s">
        <v>278</v>
      </c>
      <c r="C21" s="6" t="s">
        <v>50</v>
      </c>
    </row>
    <row r="22" ht="16.5" spans="1:3">
      <c r="A22">
        <v>17</v>
      </c>
      <c r="B22" t="s">
        <v>279</v>
      </c>
      <c r="C22" s="6" t="s">
        <v>50</v>
      </c>
    </row>
    <row r="23" ht="16.5" spans="1:3">
      <c r="A23">
        <v>18</v>
      </c>
      <c r="B23" t="s">
        <v>280</v>
      </c>
      <c r="C23" s="6" t="s">
        <v>50</v>
      </c>
    </row>
    <row r="24" ht="16.5" spans="1:3">
      <c r="A24">
        <v>19</v>
      </c>
      <c r="B24" t="s">
        <v>281</v>
      </c>
      <c r="C24" s="6" t="s">
        <v>50</v>
      </c>
    </row>
    <row r="25" ht="16.5" spans="1:3">
      <c r="A25">
        <v>20</v>
      </c>
      <c r="B25" t="s">
        <v>282</v>
      </c>
      <c r="C25" s="6" t="s">
        <v>50</v>
      </c>
    </row>
    <row r="26" ht="16.5" spans="1:3">
      <c r="A26">
        <v>21</v>
      </c>
      <c r="B26" t="s">
        <v>283</v>
      </c>
      <c r="C26" s="6" t="s">
        <v>50</v>
      </c>
    </row>
    <row r="27" ht="16.5" hidden="1" spans="1:3">
      <c r="A27">
        <v>22</v>
      </c>
      <c r="B27" t="s">
        <v>284</v>
      </c>
      <c r="C27" s="6" t="s">
        <v>45</v>
      </c>
    </row>
    <row r="28" ht="16.5" hidden="1" spans="1:3">
      <c r="A28">
        <v>23</v>
      </c>
      <c r="B28" t="s">
        <v>285</v>
      </c>
      <c r="C28" s="6" t="s">
        <v>45</v>
      </c>
    </row>
  </sheetData>
  <mergeCells count="1">
    <mergeCell ref="A1:B1"/>
  </mergeCells>
  <dataValidations count="1">
    <dataValidation type="list" allowBlank="1" showInputMessage="1" showErrorMessage="1" sqref="C6:C28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workbookViewId="0">
      <selection activeCell="C16" sqref="C16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37</v>
      </c>
      <c r="B1" s="1"/>
    </row>
    <row r="2" spans="1:3">
      <c r="A2" s="2" t="s">
        <v>38</v>
      </c>
      <c r="B2">
        <f>COUNTIF(表6_910[完成情况],"〇")</f>
        <v>9</v>
      </c>
    </row>
    <row r="3" spans="1:3">
      <c r="A3" s="2" t="s">
        <v>39</v>
      </c>
      <c r="B3">
        <f>COUNTIF(表6_910[完成情况],"✕")+COUNTIF(表6_910[完成情况],"")</f>
        <v>1</v>
      </c>
    </row>
    <row r="4" spans="1:3">
      <c r="A4" s="2" t="s">
        <v>40</v>
      </c>
      <c r="B4" s="3">
        <f>B2/MAX(表6_910[编号])</f>
        <v>0.9</v>
      </c>
    </row>
    <row r="5" spans="1:3">
      <c r="A5" t="s">
        <v>41</v>
      </c>
      <c r="B5" t="s">
        <v>42</v>
      </c>
      <c r="C5" t="s">
        <v>43</v>
      </c>
    </row>
    <row r="6" ht="16.5" spans="1:3">
      <c r="A6">
        <v>1</v>
      </c>
      <c r="B6" t="s">
        <v>286</v>
      </c>
      <c r="C6" s="6" t="s">
        <v>45</v>
      </c>
    </row>
    <row r="7" ht="16.5" spans="1:3">
      <c r="A7">
        <v>2</v>
      </c>
      <c r="B7" t="s">
        <v>287</v>
      </c>
      <c r="C7" s="6" t="s">
        <v>45</v>
      </c>
    </row>
    <row r="8" ht="16.5" spans="1:3">
      <c r="A8">
        <v>3</v>
      </c>
      <c r="B8" t="s">
        <v>288</v>
      </c>
      <c r="C8" s="6"/>
    </row>
    <row r="9" ht="16.5" spans="1:3">
      <c r="A9">
        <v>4</v>
      </c>
      <c r="B9" t="s">
        <v>289</v>
      </c>
      <c r="C9" s="6" t="s">
        <v>45</v>
      </c>
    </row>
    <row r="10" ht="16.5" spans="1:3">
      <c r="A10">
        <v>5</v>
      </c>
      <c r="B10" t="s">
        <v>274</v>
      </c>
      <c r="C10" s="6" t="s">
        <v>45</v>
      </c>
    </row>
    <row r="11" ht="16.5" spans="1:3">
      <c r="A11">
        <v>6</v>
      </c>
      <c r="B11" t="s">
        <v>275</v>
      </c>
      <c r="C11" s="6" t="s">
        <v>45</v>
      </c>
    </row>
    <row r="12" ht="16.5" spans="1:3">
      <c r="A12">
        <v>7</v>
      </c>
      <c r="B12" t="s">
        <v>276</v>
      </c>
      <c r="C12" s="6" t="s">
        <v>45</v>
      </c>
    </row>
    <row r="13" ht="16.5" spans="1:3">
      <c r="A13">
        <v>8</v>
      </c>
      <c r="B13" t="s">
        <v>277</v>
      </c>
      <c r="C13" s="6" t="s">
        <v>45</v>
      </c>
    </row>
    <row r="14" ht="16.5" spans="1:3">
      <c r="A14">
        <v>9</v>
      </c>
      <c r="B14" t="s">
        <v>278</v>
      </c>
      <c r="C14" s="6" t="s">
        <v>45</v>
      </c>
    </row>
    <row r="15" ht="16.5" spans="1:3">
      <c r="A15">
        <v>10</v>
      </c>
      <c r="B15" t="s">
        <v>290</v>
      </c>
      <c r="C15" s="6" t="s">
        <v>45</v>
      </c>
    </row>
    <row r="42" ht="16.5" spans="1:1">
      <c r="A42" s="10" t="s">
        <v>45</v>
      </c>
    </row>
  </sheetData>
  <mergeCells count="1">
    <mergeCell ref="A1:B1"/>
  </mergeCells>
  <dataValidations count="1">
    <dataValidation type="list" allowBlank="1" showInputMessage="1" showErrorMessage="1" sqref="A42 C6:C15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workbookViewId="0">
      <selection activeCell="B9" sqref="B9"/>
    </sheetView>
  </sheetViews>
  <sheetFormatPr defaultColWidth="9" defaultRowHeight="14" outlineLevelCol="4"/>
  <cols>
    <col min="2" max="2" width="22.1818181818182" customWidth="1"/>
    <col min="3" max="3" width="11.9090909090909" customWidth="1"/>
  </cols>
  <sheetData>
    <row r="1" spans="1:5">
      <c r="A1" s="1" t="s">
        <v>37</v>
      </c>
      <c r="B1" s="1"/>
    </row>
    <row r="2" spans="1:5">
      <c r="A2" s="2" t="s">
        <v>38</v>
      </c>
      <c r="B2">
        <f>COUNTIF(表6_912[完成情况],"〇")</f>
        <v>72</v>
      </c>
    </row>
    <row r="3" spans="1:5">
      <c r="A3" s="2" t="s">
        <v>39</v>
      </c>
      <c r="B3">
        <f>COUNTIF(表6_912[完成情况],"✕")+COUNTIF(表6_912[完成情况],"")</f>
        <v>12</v>
      </c>
    </row>
    <row r="4" spans="1:5">
      <c r="A4" s="2" t="s">
        <v>40</v>
      </c>
      <c r="B4" s="3">
        <f>B2/MAX(表6_912[编号])</f>
        <v>0.857142857142857</v>
      </c>
    </row>
    <row r="5" spans="1:5">
      <c r="A5" t="s">
        <v>41</v>
      </c>
      <c r="B5" t="s">
        <v>42</v>
      </c>
      <c r="C5" t="s">
        <v>43</v>
      </c>
    </row>
    <row r="6" ht="16.5" spans="1:5">
      <c r="A6">
        <v>1</v>
      </c>
      <c r="B6" t="s">
        <v>291</v>
      </c>
      <c r="C6" s="6" t="s">
        <v>45</v>
      </c>
    </row>
    <row r="7" ht="16.5" spans="1:5">
      <c r="A7">
        <v>2</v>
      </c>
      <c r="B7" t="s">
        <v>292</v>
      </c>
      <c r="C7" s="6" t="s">
        <v>45</v>
      </c>
    </row>
    <row r="8" ht="16.5" spans="1:5">
      <c r="A8">
        <v>3</v>
      </c>
      <c r="B8" t="s">
        <v>293</v>
      </c>
      <c r="C8" s="6" t="s">
        <v>45</v>
      </c>
    </row>
    <row r="9" ht="16.5" spans="1:5">
      <c r="A9">
        <v>4</v>
      </c>
      <c r="B9" t="s">
        <v>294</v>
      </c>
      <c r="C9" s="6" t="s">
        <v>45</v>
      </c>
    </row>
    <row r="10" ht="16.5" spans="1:5">
      <c r="A10">
        <v>5</v>
      </c>
      <c r="B10" t="s">
        <v>295</v>
      </c>
      <c r="C10" s="6" t="s">
        <v>45</v>
      </c>
    </row>
    <row r="11" ht="16.5" spans="1:5">
      <c r="A11">
        <v>6</v>
      </c>
      <c r="B11" s="4" t="s">
        <v>296</v>
      </c>
      <c r="C11" s="6" t="s">
        <v>45</v>
      </c>
      <c r="E11" s="4"/>
    </row>
    <row r="12" ht="16.5" spans="1:5">
      <c r="A12">
        <v>7</v>
      </c>
      <c r="B12" t="s">
        <v>297</v>
      </c>
      <c r="C12" s="6" t="s">
        <v>45</v>
      </c>
    </row>
    <row r="13" ht="16.5" spans="1:5">
      <c r="A13">
        <v>8</v>
      </c>
      <c r="B13" t="s">
        <v>298</v>
      </c>
      <c r="C13" s="6" t="s">
        <v>45</v>
      </c>
    </row>
    <row r="14" ht="16.5" spans="1:5">
      <c r="A14">
        <v>9</v>
      </c>
      <c r="B14" t="s">
        <v>299</v>
      </c>
      <c r="C14" s="6" t="s">
        <v>45</v>
      </c>
    </row>
    <row r="15" ht="16.5" spans="1:5">
      <c r="A15">
        <v>10</v>
      </c>
      <c r="B15" t="s">
        <v>300</v>
      </c>
      <c r="C15" s="6" t="s">
        <v>45</v>
      </c>
    </row>
    <row r="16" ht="16.5" spans="1:5">
      <c r="A16">
        <v>11</v>
      </c>
      <c r="B16" t="s">
        <v>301</v>
      </c>
      <c r="C16" s="6" t="s">
        <v>45</v>
      </c>
    </row>
    <row r="17" ht="16.5" spans="1:3">
      <c r="A17">
        <v>12</v>
      </c>
      <c r="B17" t="s">
        <v>302</v>
      </c>
      <c r="C17" s="6" t="s">
        <v>45</v>
      </c>
    </row>
    <row r="18" ht="16.5" spans="1:3">
      <c r="A18">
        <v>13</v>
      </c>
      <c r="B18" t="s">
        <v>303</v>
      </c>
      <c r="C18" s="6" t="s">
        <v>45</v>
      </c>
    </row>
    <row r="19" ht="16.5" spans="1:3">
      <c r="A19">
        <v>14</v>
      </c>
      <c r="B19" s="4" t="s">
        <v>304</v>
      </c>
      <c r="C19" s="6" t="s">
        <v>45</v>
      </c>
    </row>
    <row r="20" ht="16.5" spans="1:3">
      <c r="A20">
        <v>15</v>
      </c>
      <c r="B20" t="s">
        <v>305</v>
      </c>
      <c r="C20" s="6" t="s">
        <v>45</v>
      </c>
    </row>
    <row r="21" ht="16.5" spans="1:3">
      <c r="A21">
        <v>16</v>
      </c>
      <c r="B21" s="4" t="s">
        <v>306</v>
      </c>
      <c r="C21" s="6" t="s">
        <v>45</v>
      </c>
    </row>
    <row r="22" ht="16.5" spans="1:3">
      <c r="A22">
        <v>17</v>
      </c>
      <c r="B22" t="s">
        <v>307</v>
      </c>
      <c r="C22" s="6" t="s">
        <v>45</v>
      </c>
    </row>
    <row r="23" ht="16.5" spans="1:3">
      <c r="A23">
        <v>18</v>
      </c>
      <c r="B23" t="s">
        <v>308</v>
      </c>
      <c r="C23" s="6" t="s">
        <v>45</v>
      </c>
    </row>
    <row r="24" ht="16.5" spans="1:3">
      <c r="A24">
        <v>19</v>
      </c>
      <c r="B24" t="s">
        <v>309</v>
      </c>
      <c r="C24" s="6" t="s">
        <v>45</v>
      </c>
    </row>
    <row r="25" ht="16.5" spans="1:3">
      <c r="A25">
        <v>20</v>
      </c>
      <c r="B25" t="s">
        <v>310</v>
      </c>
      <c r="C25" s="6" t="s">
        <v>45</v>
      </c>
    </row>
    <row r="26" ht="16.5" spans="1:3">
      <c r="A26">
        <v>21</v>
      </c>
      <c r="B26" t="s">
        <v>311</v>
      </c>
      <c r="C26" s="6" t="s">
        <v>45</v>
      </c>
    </row>
    <row r="27" ht="16.5" spans="1:3">
      <c r="A27">
        <v>22</v>
      </c>
      <c r="B27" t="s">
        <v>312</v>
      </c>
      <c r="C27" s="6" t="s">
        <v>45</v>
      </c>
    </row>
    <row r="28" ht="16.5" spans="1:3">
      <c r="A28">
        <v>23</v>
      </c>
      <c r="B28" t="s">
        <v>313</v>
      </c>
      <c r="C28" s="6" t="s">
        <v>45</v>
      </c>
    </row>
    <row r="29" ht="16.5" spans="1:3">
      <c r="A29">
        <v>24</v>
      </c>
      <c r="B29" t="s">
        <v>314</v>
      </c>
      <c r="C29" s="6" t="s">
        <v>45</v>
      </c>
    </row>
    <row r="30" ht="16.5" spans="1:3">
      <c r="A30">
        <v>25</v>
      </c>
      <c r="B30" t="s">
        <v>315</v>
      </c>
      <c r="C30" s="6" t="s">
        <v>45</v>
      </c>
    </row>
    <row r="31" ht="16.5" spans="1:3">
      <c r="A31">
        <v>26</v>
      </c>
      <c r="B31" t="s">
        <v>316</v>
      </c>
      <c r="C31" s="6" t="s">
        <v>45</v>
      </c>
    </row>
    <row r="32" ht="16.5" spans="1:3">
      <c r="A32">
        <v>27</v>
      </c>
      <c r="B32" t="s">
        <v>317</v>
      </c>
      <c r="C32" s="6" t="s">
        <v>45</v>
      </c>
    </row>
    <row r="33" ht="16.5" spans="1:3">
      <c r="A33">
        <v>28</v>
      </c>
      <c r="B33" t="s">
        <v>318</v>
      </c>
      <c r="C33" s="6" t="s">
        <v>45</v>
      </c>
    </row>
    <row r="34" ht="16.5" spans="1:3">
      <c r="A34">
        <v>29</v>
      </c>
      <c r="B34" t="s">
        <v>319</v>
      </c>
      <c r="C34" s="6" t="s">
        <v>45</v>
      </c>
    </row>
    <row r="35" ht="16.5" spans="1:3">
      <c r="A35">
        <v>30</v>
      </c>
      <c r="B35" t="s">
        <v>320</v>
      </c>
      <c r="C35" s="6" t="s">
        <v>45</v>
      </c>
    </row>
    <row r="36" ht="16.5" spans="1:3">
      <c r="A36">
        <v>31</v>
      </c>
      <c r="B36" s="4" t="s">
        <v>321</v>
      </c>
      <c r="C36" s="6" t="s">
        <v>45</v>
      </c>
    </row>
    <row r="37" ht="16.5" spans="1:3">
      <c r="A37">
        <v>32</v>
      </c>
      <c r="B37" t="s">
        <v>322</v>
      </c>
      <c r="C37" s="6" t="s">
        <v>45</v>
      </c>
    </row>
    <row r="38" ht="16.5" spans="1:3">
      <c r="A38">
        <v>33</v>
      </c>
      <c r="B38" t="s">
        <v>323</v>
      </c>
      <c r="C38" s="6"/>
    </row>
    <row r="39" ht="16.5" spans="1:3">
      <c r="A39">
        <v>34</v>
      </c>
      <c r="B39" t="s">
        <v>324</v>
      </c>
      <c r="C39" s="6"/>
    </row>
    <row r="40" ht="16.5" spans="1:3">
      <c r="A40">
        <v>35</v>
      </c>
      <c r="B40" t="s">
        <v>325</v>
      </c>
      <c r="C40" s="6"/>
    </row>
    <row r="41" ht="16.5" spans="1:3">
      <c r="A41">
        <v>36</v>
      </c>
      <c r="B41" t="s">
        <v>326</v>
      </c>
      <c r="C41" s="6" t="s">
        <v>45</v>
      </c>
    </row>
    <row r="42" ht="16.5" spans="1:3">
      <c r="A42">
        <v>37</v>
      </c>
      <c r="B42" t="s">
        <v>327</v>
      </c>
      <c r="C42" s="6" t="s">
        <v>45</v>
      </c>
    </row>
    <row r="43" ht="16.5" spans="1:3">
      <c r="A43">
        <v>38</v>
      </c>
      <c r="B43" t="s">
        <v>328</v>
      </c>
      <c r="C43" s="6" t="s">
        <v>45</v>
      </c>
    </row>
    <row r="44" ht="16.5" spans="1:3">
      <c r="A44">
        <v>39</v>
      </c>
      <c r="B44" t="s">
        <v>329</v>
      </c>
      <c r="C44" s="6" t="s">
        <v>45</v>
      </c>
    </row>
    <row r="45" ht="16.5" spans="1:3">
      <c r="A45">
        <v>40</v>
      </c>
      <c r="B45" t="s">
        <v>330</v>
      </c>
      <c r="C45" s="6" t="s">
        <v>45</v>
      </c>
    </row>
    <row r="46" ht="16.5" spans="1:3">
      <c r="A46">
        <v>41</v>
      </c>
      <c r="B46" t="s">
        <v>331</v>
      </c>
      <c r="C46" s="6" t="s">
        <v>45</v>
      </c>
    </row>
    <row r="47" ht="16.5" spans="1:3">
      <c r="A47">
        <v>42</v>
      </c>
      <c r="B47" t="s">
        <v>332</v>
      </c>
      <c r="C47" s="6" t="s">
        <v>45</v>
      </c>
    </row>
    <row r="48" ht="16.5" spans="1:3">
      <c r="A48">
        <v>43</v>
      </c>
      <c r="B48" t="s">
        <v>333</v>
      </c>
      <c r="C48" s="6" t="s">
        <v>45</v>
      </c>
    </row>
    <row r="49" ht="16.5" spans="1:3">
      <c r="A49">
        <v>44</v>
      </c>
      <c r="B49" t="s">
        <v>334</v>
      </c>
      <c r="C49" s="6" t="s">
        <v>45</v>
      </c>
    </row>
    <row r="50" ht="16.5" spans="1:3">
      <c r="A50">
        <v>45</v>
      </c>
      <c r="B50" t="s">
        <v>335</v>
      </c>
      <c r="C50" s="6" t="s">
        <v>45</v>
      </c>
    </row>
    <row r="51" ht="16.5" spans="1:3">
      <c r="A51">
        <v>46</v>
      </c>
      <c r="B51" s="5" t="s">
        <v>336</v>
      </c>
      <c r="C51" s="6"/>
    </row>
    <row r="52" ht="16.5" spans="1:3">
      <c r="A52">
        <v>47</v>
      </c>
      <c r="B52" s="5" t="s">
        <v>337</v>
      </c>
      <c r="C52" s="6"/>
    </row>
    <row r="53" ht="16.5" spans="1:3">
      <c r="A53">
        <v>48</v>
      </c>
      <c r="B53" s="5" t="s">
        <v>338</v>
      </c>
      <c r="C53" s="6"/>
    </row>
    <row r="54" ht="16.5" spans="1:3">
      <c r="A54">
        <v>49</v>
      </c>
      <c r="B54" s="5" t="s">
        <v>339</v>
      </c>
      <c r="C54" s="6"/>
    </row>
    <row r="55" ht="16.5" spans="1:3">
      <c r="A55">
        <v>50</v>
      </c>
      <c r="B55" s="5" t="s">
        <v>340</v>
      </c>
      <c r="C55" s="6"/>
    </row>
    <row r="56" ht="16.5" spans="1:3">
      <c r="A56">
        <v>51</v>
      </c>
      <c r="B56" t="s">
        <v>341</v>
      </c>
      <c r="C56" s="6" t="s">
        <v>45</v>
      </c>
    </row>
    <row r="57" ht="16.5" spans="1:3">
      <c r="A57">
        <v>52</v>
      </c>
      <c r="B57" t="s">
        <v>342</v>
      </c>
      <c r="C57" s="6" t="s">
        <v>45</v>
      </c>
    </row>
    <row r="58" ht="16.5" spans="1:3">
      <c r="A58">
        <v>53</v>
      </c>
      <c r="B58" t="s">
        <v>343</v>
      </c>
      <c r="C58" s="6" t="s">
        <v>45</v>
      </c>
    </row>
    <row r="59" ht="16.5" spans="1:3">
      <c r="A59">
        <v>54</v>
      </c>
      <c r="B59" s="4" t="s">
        <v>344</v>
      </c>
      <c r="C59" s="6" t="s">
        <v>45</v>
      </c>
    </row>
    <row r="60" ht="16.5" spans="1:3">
      <c r="A60">
        <v>55</v>
      </c>
      <c r="B60" t="s">
        <v>345</v>
      </c>
      <c r="C60" s="6" t="s">
        <v>45</v>
      </c>
    </row>
    <row r="61" ht="16.5" spans="1:3">
      <c r="A61">
        <v>56</v>
      </c>
      <c r="B61" t="s">
        <v>346</v>
      </c>
      <c r="C61" s="6" t="s">
        <v>45</v>
      </c>
    </row>
    <row r="62" ht="16.5" spans="1:3">
      <c r="A62">
        <v>57</v>
      </c>
      <c r="B62" t="s">
        <v>347</v>
      </c>
      <c r="C62" s="6" t="s">
        <v>45</v>
      </c>
    </row>
    <row r="63" ht="16.5" spans="1:3">
      <c r="A63">
        <v>58</v>
      </c>
      <c r="B63" t="s">
        <v>348</v>
      </c>
      <c r="C63" s="6" t="s">
        <v>45</v>
      </c>
    </row>
    <row r="64" ht="16.5" spans="1:3">
      <c r="A64">
        <v>59</v>
      </c>
      <c r="B64" t="s">
        <v>349</v>
      </c>
      <c r="C64" s="6" t="s">
        <v>45</v>
      </c>
    </row>
    <row r="65" ht="16.5" spans="1:3">
      <c r="A65">
        <v>60</v>
      </c>
      <c r="B65" s="5" t="s">
        <v>350</v>
      </c>
      <c r="C65" s="6"/>
    </row>
    <row r="66" ht="16.5" spans="1:3">
      <c r="A66">
        <v>61</v>
      </c>
      <c r="B66" s="5" t="s">
        <v>351</v>
      </c>
      <c r="C66" s="6"/>
    </row>
    <row r="67" ht="16.5" spans="1:3">
      <c r="A67">
        <v>62</v>
      </c>
      <c r="B67" s="5" t="s">
        <v>352</v>
      </c>
      <c r="C67" s="6"/>
    </row>
    <row r="68" ht="16.5" spans="1:3">
      <c r="A68">
        <v>63</v>
      </c>
      <c r="B68" s="5" t="s">
        <v>353</v>
      </c>
      <c r="C68" s="6"/>
    </row>
    <row r="69" ht="16.5" spans="1:3">
      <c r="A69">
        <v>64</v>
      </c>
      <c r="B69" t="s">
        <v>95</v>
      </c>
      <c r="C69" s="6" t="s">
        <v>45</v>
      </c>
    </row>
    <row r="70" ht="16.5" spans="1:3">
      <c r="A70">
        <v>65</v>
      </c>
      <c r="B70" t="s">
        <v>96</v>
      </c>
      <c r="C70" s="6" t="s">
        <v>45</v>
      </c>
    </row>
    <row r="71" ht="16.5" spans="1:3">
      <c r="A71">
        <v>66</v>
      </c>
      <c r="B71" t="s">
        <v>97</v>
      </c>
      <c r="C71" s="6" t="s">
        <v>45</v>
      </c>
    </row>
    <row r="72" ht="16.5" spans="1:3">
      <c r="A72">
        <v>67</v>
      </c>
      <c r="B72" t="s">
        <v>98</v>
      </c>
      <c r="C72" s="6" t="s">
        <v>45</v>
      </c>
    </row>
    <row r="73" ht="16.5" spans="1:3">
      <c r="A73">
        <v>68</v>
      </c>
      <c r="B73" t="s">
        <v>99</v>
      </c>
      <c r="C73" s="6" t="s">
        <v>45</v>
      </c>
    </row>
    <row r="74" ht="16.5" spans="1:3">
      <c r="A74">
        <v>69</v>
      </c>
      <c r="B74" t="s">
        <v>100</v>
      </c>
      <c r="C74" s="6" t="s">
        <v>45</v>
      </c>
    </row>
    <row r="75" ht="16.5" spans="1:3">
      <c r="A75">
        <v>70</v>
      </c>
      <c r="B75" t="s">
        <v>108</v>
      </c>
      <c r="C75" s="6" t="s">
        <v>45</v>
      </c>
    </row>
    <row r="76" ht="16.5" spans="1:3">
      <c r="A76">
        <v>71</v>
      </c>
      <c r="B76" t="s">
        <v>109</v>
      </c>
      <c r="C76" s="6" t="s">
        <v>45</v>
      </c>
    </row>
    <row r="77" ht="16.5" spans="1:3">
      <c r="A77">
        <v>72</v>
      </c>
      <c r="B77" t="s">
        <v>110</v>
      </c>
      <c r="C77" s="6" t="s">
        <v>45</v>
      </c>
    </row>
    <row r="78" ht="16.5" spans="1:3">
      <c r="A78">
        <v>73</v>
      </c>
      <c r="B78" t="s">
        <v>112</v>
      </c>
      <c r="C78" s="6" t="s">
        <v>45</v>
      </c>
    </row>
    <row r="79" ht="16.5" spans="1:3">
      <c r="A79">
        <v>74</v>
      </c>
      <c r="B79" t="s">
        <v>113</v>
      </c>
      <c r="C79" s="6" t="s">
        <v>45</v>
      </c>
    </row>
    <row r="80" ht="16.5" spans="1:3">
      <c r="A80">
        <v>75</v>
      </c>
      <c r="B80" t="s">
        <v>114</v>
      </c>
      <c r="C80" s="6" t="s">
        <v>45</v>
      </c>
    </row>
    <row r="81" ht="16.5" spans="1:3">
      <c r="A81">
        <v>76</v>
      </c>
      <c r="B81" t="s">
        <v>115</v>
      </c>
      <c r="C81" s="6" t="s">
        <v>45</v>
      </c>
    </row>
    <row r="82" ht="16.5" spans="1:3">
      <c r="A82">
        <v>77</v>
      </c>
      <c r="B82" t="s">
        <v>116</v>
      </c>
      <c r="C82" s="6" t="s">
        <v>45</v>
      </c>
    </row>
    <row r="83" ht="16.5" spans="1:3">
      <c r="A83">
        <v>78</v>
      </c>
      <c r="B83" t="s">
        <v>117</v>
      </c>
      <c r="C83" s="6" t="s">
        <v>45</v>
      </c>
    </row>
    <row r="84" ht="16.5" spans="1:3">
      <c r="A84">
        <v>79</v>
      </c>
      <c r="B84" t="s">
        <v>118</v>
      </c>
      <c r="C84" s="6" t="s">
        <v>45</v>
      </c>
    </row>
    <row r="85" ht="16.5" spans="1:3">
      <c r="A85">
        <v>80</v>
      </c>
      <c r="B85" t="s">
        <v>119</v>
      </c>
      <c r="C85" s="6" t="s">
        <v>45</v>
      </c>
    </row>
    <row r="86" ht="16.5" spans="1:3">
      <c r="A86">
        <v>81</v>
      </c>
      <c r="B86" t="s">
        <v>120</v>
      </c>
      <c r="C86" s="6" t="s">
        <v>45</v>
      </c>
    </row>
    <row r="87" ht="16.5" spans="1:3">
      <c r="A87">
        <v>82</v>
      </c>
      <c r="B87" t="s">
        <v>121</v>
      </c>
      <c r="C87" s="6" t="s">
        <v>45</v>
      </c>
    </row>
    <row r="88" ht="16.5" spans="1:3">
      <c r="A88">
        <v>83</v>
      </c>
      <c r="B88" t="s">
        <v>122</v>
      </c>
      <c r="C88" s="6" t="s">
        <v>45</v>
      </c>
    </row>
    <row r="89" ht="16.5" spans="1:3">
      <c r="A89">
        <v>84</v>
      </c>
      <c r="B89" t="s">
        <v>354</v>
      </c>
      <c r="C89" s="6" t="s">
        <v>45</v>
      </c>
    </row>
  </sheetData>
  <mergeCells count="1">
    <mergeCell ref="A1:B1"/>
  </mergeCells>
  <dataValidations count="1">
    <dataValidation type="list" allowBlank="1" showInputMessage="1" showErrorMessage="1" sqref="C6:C89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B12" sqref="B12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37</v>
      </c>
      <c r="B1" s="1"/>
    </row>
    <row r="2" spans="1:3">
      <c r="A2" s="2" t="s">
        <v>38</v>
      </c>
      <c r="B2">
        <f>COUNTIF(表6_91213[完成情况],"〇")</f>
        <v>13</v>
      </c>
    </row>
    <row r="3" spans="1:3">
      <c r="A3" s="2" t="s">
        <v>39</v>
      </c>
      <c r="B3">
        <f>COUNTIF(表6_91213[完成情况],"✕")+COUNTIF(表6_91213[完成情况],"")</f>
        <v>6</v>
      </c>
    </row>
    <row r="4" spans="1:3">
      <c r="A4" s="2" t="s">
        <v>40</v>
      </c>
      <c r="B4" s="3">
        <f>B2/MAX(表6_91213[编号])</f>
        <v>0.684210526315789</v>
      </c>
    </row>
    <row r="5" spans="1:3">
      <c r="A5" t="s">
        <v>41</v>
      </c>
      <c r="B5" t="s">
        <v>42</v>
      </c>
      <c r="C5" t="s">
        <v>43</v>
      </c>
    </row>
    <row r="6" ht="16.5" spans="1:3">
      <c r="A6">
        <v>1</v>
      </c>
      <c r="B6" t="s">
        <v>355</v>
      </c>
      <c r="C6" s="6" t="s">
        <v>45</v>
      </c>
    </row>
    <row r="7" ht="16.5" spans="1:3">
      <c r="A7">
        <v>2</v>
      </c>
      <c r="B7" t="s">
        <v>356</v>
      </c>
      <c r="C7" s="6" t="s">
        <v>45</v>
      </c>
    </row>
    <row r="8" ht="16.5" spans="1:3">
      <c r="A8">
        <v>3</v>
      </c>
      <c r="B8" t="s">
        <v>357</v>
      </c>
      <c r="C8" s="6" t="s">
        <v>45</v>
      </c>
    </row>
    <row r="9" ht="16.5" spans="1:3">
      <c r="A9">
        <v>4</v>
      </c>
      <c r="B9" t="s">
        <v>358</v>
      </c>
      <c r="C9" s="6" t="s">
        <v>45</v>
      </c>
    </row>
    <row r="10" ht="16.5" spans="1:3">
      <c r="A10">
        <v>5</v>
      </c>
      <c r="B10" s="4" t="s">
        <v>359</v>
      </c>
      <c r="C10" s="6" t="s">
        <v>45</v>
      </c>
    </row>
    <row r="11" ht="16.5" spans="1:3">
      <c r="A11">
        <v>6</v>
      </c>
      <c r="B11" t="s">
        <v>360</v>
      </c>
      <c r="C11" s="6"/>
    </row>
    <row r="12" ht="16.5" spans="1:3">
      <c r="A12">
        <v>7</v>
      </c>
      <c r="B12" t="s">
        <v>361</v>
      </c>
      <c r="C12" s="6"/>
    </row>
    <row r="13" ht="16.5" spans="1:3">
      <c r="A13">
        <v>8</v>
      </c>
      <c r="B13" t="s">
        <v>362</v>
      </c>
      <c r="C13" s="6"/>
    </row>
    <row r="14" ht="16.5" spans="1:3">
      <c r="A14">
        <v>9</v>
      </c>
      <c r="B14" t="s">
        <v>363</v>
      </c>
      <c r="C14" s="6"/>
    </row>
    <row r="15" ht="16.5" spans="1:3">
      <c r="A15">
        <v>10</v>
      </c>
      <c r="B15" t="s">
        <v>364</v>
      </c>
      <c r="C15" s="6"/>
    </row>
    <row r="16" ht="16.5" spans="1:3">
      <c r="A16">
        <v>11</v>
      </c>
      <c r="B16" t="s">
        <v>365</v>
      </c>
      <c r="C16" s="6"/>
    </row>
    <row r="17" ht="16.5" spans="1:3">
      <c r="A17">
        <v>12</v>
      </c>
      <c r="B17" t="s">
        <v>274</v>
      </c>
      <c r="C17" s="6" t="s">
        <v>45</v>
      </c>
    </row>
    <row r="18" ht="16.5" spans="1:3">
      <c r="A18">
        <v>13</v>
      </c>
      <c r="B18" t="s">
        <v>275</v>
      </c>
      <c r="C18" s="6" t="s">
        <v>45</v>
      </c>
    </row>
    <row r="19" ht="16.5" spans="1:3">
      <c r="A19">
        <v>14</v>
      </c>
      <c r="B19" t="s">
        <v>278</v>
      </c>
      <c r="C19" s="6" t="s">
        <v>45</v>
      </c>
    </row>
    <row r="20" ht="16.5" spans="1:3">
      <c r="A20">
        <v>15</v>
      </c>
      <c r="B20" t="s">
        <v>136</v>
      </c>
      <c r="C20" s="6" t="s">
        <v>45</v>
      </c>
    </row>
    <row r="21" ht="16.5" spans="1:3">
      <c r="A21">
        <v>16</v>
      </c>
      <c r="B21" t="s">
        <v>137</v>
      </c>
      <c r="C21" s="6" t="s">
        <v>45</v>
      </c>
    </row>
    <row r="22" ht="16.5" spans="1:3">
      <c r="A22">
        <v>17</v>
      </c>
      <c r="B22" t="s">
        <v>366</v>
      </c>
      <c r="C22" s="6" t="s">
        <v>45</v>
      </c>
    </row>
    <row r="23" ht="16.5" spans="1:3">
      <c r="A23">
        <v>18</v>
      </c>
      <c r="B23" t="s">
        <v>367</v>
      </c>
      <c r="C23" s="6" t="s">
        <v>45</v>
      </c>
    </row>
    <row r="24" ht="16.5" spans="1:3">
      <c r="A24">
        <v>19</v>
      </c>
      <c r="B24" t="s">
        <v>368</v>
      </c>
      <c r="C24" s="6" t="s">
        <v>45</v>
      </c>
    </row>
  </sheetData>
  <mergeCells count="1">
    <mergeCell ref="A1:B1"/>
  </mergeCells>
  <dataValidations count="1">
    <dataValidation type="list" allowBlank="1" showInputMessage="1" showErrorMessage="1" sqref="C6:C24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workbookViewId="0">
      <selection activeCell="A1" sqref="A1:B1"/>
    </sheetView>
  </sheetViews>
  <sheetFormatPr defaultColWidth="9" defaultRowHeight="14"/>
  <cols>
    <col min="2" max="2" width="22.1818181818182" customWidth="1"/>
    <col min="3" max="3" width="11.9090909090909" customWidth="1"/>
  </cols>
  <sheetData>
    <row r="1" spans="1:11">
      <c r="A1" s="1" t="s">
        <v>37</v>
      </c>
      <c r="B1" s="1"/>
    </row>
    <row r="2" spans="1:11">
      <c r="A2" s="2" t="s">
        <v>38</v>
      </c>
      <c r="B2">
        <f>COUNTIF(表6_9[完成情况],"〇")</f>
        <v>55</v>
      </c>
    </row>
    <row r="3" spans="1:11">
      <c r="A3" s="2" t="s">
        <v>39</v>
      </c>
      <c r="B3">
        <f>COUNTIF(表6_9[完成情况],"✕")+COUNTIF(表6_9[完成情况],"")</f>
        <v>1</v>
      </c>
    </row>
    <row r="4" spans="1:11">
      <c r="A4" s="2" t="s">
        <v>40</v>
      </c>
      <c r="B4" s="3">
        <f>B2/MAX(表6_9[编号])</f>
        <v>0.982142857142857</v>
      </c>
    </row>
    <row r="5" spans="1:11">
      <c r="A5" t="s">
        <v>41</v>
      </c>
      <c r="B5" t="s">
        <v>262</v>
      </c>
      <c r="C5" t="s">
        <v>43</v>
      </c>
    </row>
    <row r="6" ht="16.5" spans="1:11">
      <c r="A6">
        <v>1</v>
      </c>
      <c r="B6" t="s">
        <v>369</v>
      </c>
      <c r="C6" s="6" t="s">
        <v>45</v>
      </c>
    </row>
    <row r="7" ht="16.5" spans="1:11">
      <c r="A7">
        <v>2</v>
      </c>
      <c r="B7" t="s">
        <v>370</v>
      </c>
      <c r="C7" s="6" t="s">
        <v>45</v>
      </c>
    </row>
    <row r="8" ht="16.5" spans="1:11">
      <c r="A8">
        <v>3</v>
      </c>
      <c r="B8" t="s">
        <v>371</v>
      </c>
      <c r="C8" s="6" t="s">
        <v>45</v>
      </c>
    </row>
    <row r="9" ht="16.5" spans="1:11">
      <c r="A9">
        <v>4</v>
      </c>
      <c r="B9" t="s">
        <v>372</v>
      </c>
      <c r="C9" s="6" t="s">
        <v>45</v>
      </c>
      <c r="I9">
        <v>33</v>
      </c>
    </row>
    <row r="10" ht="16.5" spans="1:11">
      <c r="A10">
        <v>5</v>
      </c>
      <c r="B10" t="s">
        <v>373</v>
      </c>
      <c r="C10" s="6" t="s">
        <v>45</v>
      </c>
      <c r="J10">
        <v>5940</v>
      </c>
      <c r="K10">
        <v>11000</v>
      </c>
    </row>
    <row r="11" ht="16.5" spans="1:11">
      <c r="A11">
        <v>6</v>
      </c>
      <c r="B11" t="s">
        <v>374</v>
      </c>
      <c r="C11" s="6" t="s">
        <v>45</v>
      </c>
      <c r="J11">
        <v>3091</v>
      </c>
      <c r="K11">
        <v>5749</v>
      </c>
    </row>
    <row r="12" ht="16.5" spans="1:11">
      <c r="A12">
        <v>7</v>
      </c>
      <c r="B12" t="s">
        <v>375</v>
      </c>
      <c r="C12" s="6" t="s">
        <v>45</v>
      </c>
      <c r="J12">
        <v>5170</v>
      </c>
      <c r="K12">
        <v>9616</v>
      </c>
    </row>
    <row r="13" ht="16.5" spans="1:11">
      <c r="A13">
        <v>8</v>
      </c>
      <c r="B13" t="s">
        <v>376</v>
      </c>
      <c r="C13" s="6" t="s">
        <v>45</v>
      </c>
      <c r="J13">
        <v>5342</v>
      </c>
      <c r="K13">
        <v>9946</v>
      </c>
    </row>
    <row r="14" ht="16.5" spans="1:11">
      <c r="A14">
        <v>9</v>
      </c>
      <c r="B14" t="s">
        <v>377</v>
      </c>
      <c r="C14" s="6" t="s">
        <v>45</v>
      </c>
      <c r="J14">
        <v>2603</v>
      </c>
      <c r="K14">
        <v>4841</v>
      </c>
    </row>
    <row r="15" ht="16.5" spans="1:11">
      <c r="A15">
        <v>10</v>
      </c>
      <c r="B15" t="s">
        <v>378</v>
      </c>
      <c r="C15" s="6" t="s">
        <v>45</v>
      </c>
    </row>
    <row r="16" ht="16.5" spans="1:11">
      <c r="A16">
        <v>11</v>
      </c>
      <c r="B16" t="s">
        <v>379</v>
      </c>
      <c r="C16" s="6" t="s">
        <v>45</v>
      </c>
    </row>
    <row r="17" ht="16.5" spans="1:3">
      <c r="A17">
        <v>12</v>
      </c>
      <c r="B17" t="s">
        <v>380</v>
      </c>
      <c r="C17" s="6" t="s">
        <v>45</v>
      </c>
    </row>
    <row r="18" ht="16.5" spans="1:3">
      <c r="A18">
        <v>13</v>
      </c>
      <c r="B18" t="s">
        <v>381</v>
      </c>
      <c r="C18" s="6" t="s">
        <v>45</v>
      </c>
    </row>
    <row r="19" ht="16.5" spans="1:3">
      <c r="A19">
        <v>14</v>
      </c>
      <c r="B19" t="s">
        <v>382</v>
      </c>
      <c r="C19" s="6" t="s">
        <v>45</v>
      </c>
    </row>
    <row r="20" ht="16.5" spans="1:3">
      <c r="A20">
        <v>15</v>
      </c>
      <c r="B20" t="s">
        <v>383</v>
      </c>
      <c r="C20" s="6" t="s">
        <v>45</v>
      </c>
    </row>
    <row r="21" ht="16.5" spans="1:3">
      <c r="A21">
        <v>16</v>
      </c>
      <c r="B21" t="s">
        <v>384</v>
      </c>
      <c r="C21" s="6" t="s">
        <v>45</v>
      </c>
    </row>
    <row r="22" ht="16.5" spans="1:3">
      <c r="A22">
        <v>17</v>
      </c>
      <c r="B22" t="s">
        <v>385</v>
      </c>
      <c r="C22" s="6" t="s">
        <v>45</v>
      </c>
    </row>
    <row r="23" ht="16.5" spans="1:3">
      <c r="A23">
        <v>18</v>
      </c>
      <c r="B23" t="s">
        <v>386</v>
      </c>
      <c r="C23" s="6" t="s">
        <v>45</v>
      </c>
    </row>
    <row r="24" ht="16.5" spans="1:3">
      <c r="A24">
        <v>19</v>
      </c>
      <c r="B24" t="s">
        <v>387</v>
      </c>
      <c r="C24" s="6" t="s">
        <v>45</v>
      </c>
    </row>
    <row r="25" ht="16.5" spans="1:3">
      <c r="A25">
        <v>20</v>
      </c>
      <c r="B25" t="s">
        <v>388</v>
      </c>
      <c r="C25" s="6" t="s">
        <v>45</v>
      </c>
    </row>
    <row r="26" ht="16.5" spans="1:3">
      <c r="A26">
        <v>21</v>
      </c>
      <c r="B26" t="s">
        <v>389</v>
      </c>
      <c r="C26" s="6" t="s">
        <v>45</v>
      </c>
    </row>
    <row r="27" ht="16.5" spans="1:3">
      <c r="A27">
        <v>22</v>
      </c>
      <c r="B27" t="s">
        <v>390</v>
      </c>
      <c r="C27" s="6" t="s">
        <v>45</v>
      </c>
    </row>
    <row r="28" ht="16.5" spans="1:3">
      <c r="A28">
        <v>23</v>
      </c>
      <c r="B28" t="s">
        <v>391</v>
      </c>
      <c r="C28" s="6" t="s">
        <v>45</v>
      </c>
    </row>
    <row r="29" ht="16.5" spans="1:3">
      <c r="A29">
        <v>24</v>
      </c>
      <c r="B29" t="s">
        <v>392</v>
      </c>
      <c r="C29" s="6" t="s">
        <v>45</v>
      </c>
    </row>
    <row r="30" ht="16.5" spans="1:3">
      <c r="A30">
        <v>25</v>
      </c>
      <c r="B30" t="s">
        <v>393</v>
      </c>
      <c r="C30" s="6" t="s">
        <v>45</v>
      </c>
    </row>
    <row r="31" ht="16.5" spans="1:3">
      <c r="A31">
        <v>26</v>
      </c>
      <c r="B31" t="s">
        <v>394</v>
      </c>
      <c r="C31" s="6" t="s">
        <v>45</v>
      </c>
    </row>
    <row r="32" ht="16.5" spans="1:3">
      <c r="A32">
        <v>27</v>
      </c>
      <c r="B32" s="4" t="s">
        <v>395</v>
      </c>
      <c r="C32" s="6" t="s">
        <v>45</v>
      </c>
    </row>
    <row r="33" ht="16.5" spans="1:3">
      <c r="A33">
        <v>28</v>
      </c>
      <c r="B33" t="s">
        <v>396</v>
      </c>
      <c r="C33" s="6"/>
    </row>
    <row r="34" ht="16.5" spans="1:3">
      <c r="A34">
        <v>29</v>
      </c>
      <c r="B34" t="s">
        <v>95</v>
      </c>
      <c r="C34" s="6" t="s">
        <v>45</v>
      </c>
    </row>
    <row r="35" ht="16.5" spans="1:3">
      <c r="A35">
        <v>30</v>
      </c>
      <c r="B35" t="s">
        <v>96</v>
      </c>
      <c r="C35" s="6" t="s">
        <v>45</v>
      </c>
    </row>
    <row r="36" ht="16.5" spans="1:3">
      <c r="A36">
        <v>31</v>
      </c>
      <c r="B36" t="s">
        <v>97</v>
      </c>
      <c r="C36" s="6" t="s">
        <v>45</v>
      </c>
    </row>
    <row r="37" ht="16.5" spans="1:3">
      <c r="A37">
        <v>32</v>
      </c>
      <c r="B37" t="s">
        <v>98</v>
      </c>
      <c r="C37" s="6" t="s">
        <v>45</v>
      </c>
    </row>
    <row r="38" ht="16.5" spans="1:3">
      <c r="A38">
        <v>33</v>
      </c>
      <c r="B38" t="s">
        <v>99</v>
      </c>
      <c r="C38" s="6" t="s">
        <v>45</v>
      </c>
    </row>
    <row r="39" ht="16.5" spans="1:3">
      <c r="A39">
        <v>34</v>
      </c>
      <c r="B39" t="s">
        <v>100</v>
      </c>
      <c r="C39" s="6" t="s">
        <v>45</v>
      </c>
    </row>
    <row r="40" ht="16.5" spans="1:3">
      <c r="A40">
        <v>35</v>
      </c>
      <c r="B40" t="s">
        <v>101</v>
      </c>
      <c r="C40" s="6" t="s">
        <v>45</v>
      </c>
    </row>
    <row r="41" ht="16.5" spans="1:3">
      <c r="A41">
        <v>36</v>
      </c>
      <c r="B41" t="s">
        <v>102</v>
      </c>
      <c r="C41" s="6" t="s">
        <v>45</v>
      </c>
    </row>
    <row r="42" ht="16.5" spans="1:3">
      <c r="A42">
        <v>37</v>
      </c>
      <c r="B42" t="s">
        <v>103</v>
      </c>
      <c r="C42" s="6" t="s">
        <v>45</v>
      </c>
    </row>
    <row r="43" ht="16.5" spans="1:3">
      <c r="A43">
        <v>38</v>
      </c>
      <c r="B43" t="s">
        <v>105</v>
      </c>
      <c r="C43" s="6" t="s">
        <v>45</v>
      </c>
    </row>
    <row r="44" ht="16.5" spans="1:3">
      <c r="A44">
        <v>39</v>
      </c>
      <c r="B44" t="s">
        <v>106</v>
      </c>
      <c r="C44" s="6" t="s">
        <v>45</v>
      </c>
    </row>
    <row r="45" ht="16.5" spans="1:3">
      <c r="A45">
        <v>40</v>
      </c>
      <c r="B45" t="s">
        <v>107</v>
      </c>
      <c r="C45" s="6" t="s">
        <v>45</v>
      </c>
    </row>
    <row r="46" ht="16.5" spans="1:3">
      <c r="A46">
        <v>41</v>
      </c>
      <c r="B46" t="s">
        <v>108</v>
      </c>
      <c r="C46" s="6" t="s">
        <v>45</v>
      </c>
    </row>
    <row r="47" ht="16.5" spans="1:3">
      <c r="A47">
        <v>42</v>
      </c>
      <c r="B47" t="s">
        <v>109</v>
      </c>
      <c r="C47" s="6" t="s">
        <v>45</v>
      </c>
    </row>
    <row r="48" ht="16.5" spans="1:3">
      <c r="A48">
        <v>43</v>
      </c>
      <c r="B48" t="s">
        <v>110</v>
      </c>
      <c r="C48" s="6" t="s">
        <v>45</v>
      </c>
    </row>
    <row r="49" ht="16.5" spans="1:3">
      <c r="A49">
        <v>44</v>
      </c>
      <c r="B49" t="s">
        <v>111</v>
      </c>
      <c r="C49" s="6" t="s">
        <v>45</v>
      </c>
    </row>
    <row r="50" ht="16.5" spans="1:3">
      <c r="A50">
        <v>45</v>
      </c>
      <c r="B50" t="s">
        <v>112</v>
      </c>
      <c r="C50" s="6" t="s">
        <v>45</v>
      </c>
    </row>
    <row r="51" ht="16.5" spans="1:3">
      <c r="A51">
        <v>46</v>
      </c>
      <c r="B51" t="s">
        <v>113</v>
      </c>
      <c r="C51" s="6" t="s">
        <v>45</v>
      </c>
    </row>
    <row r="52" ht="16.5" spans="1:3">
      <c r="A52">
        <v>47</v>
      </c>
      <c r="B52" t="s">
        <v>114</v>
      </c>
      <c r="C52" s="6" t="s">
        <v>45</v>
      </c>
    </row>
    <row r="53" ht="16.5" spans="1:3">
      <c r="A53">
        <v>48</v>
      </c>
      <c r="B53" t="s">
        <v>115</v>
      </c>
      <c r="C53" s="6" t="s">
        <v>45</v>
      </c>
    </row>
    <row r="54" ht="16.5" spans="1:3">
      <c r="A54">
        <v>49</v>
      </c>
      <c r="B54" t="s">
        <v>116</v>
      </c>
      <c r="C54" s="6" t="s">
        <v>45</v>
      </c>
    </row>
    <row r="55" ht="16.5" spans="1:3">
      <c r="A55">
        <v>50</v>
      </c>
      <c r="B55" t="s">
        <v>117</v>
      </c>
      <c r="C55" s="6" t="s">
        <v>45</v>
      </c>
    </row>
    <row r="56" ht="16.5" spans="1:3">
      <c r="A56">
        <v>51</v>
      </c>
      <c r="B56" t="s">
        <v>118</v>
      </c>
      <c r="C56" s="6" t="s">
        <v>45</v>
      </c>
    </row>
    <row r="57" ht="16.5" spans="1:3">
      <c r="A57">
        <v>52</v>
      </c>
      <c r="B57" t="s">
        <v>119</v>
      </c>
      <c r="C57" s="6" t="s">
        <v>45</v>
      </c>
    </row>
    <row r="58" ht="16.5" spans="1:3">
      <c r="A58">
        <v>53</v>
      </c>
      <c r="B58" t="s">
        <v>120</v>
      </c>
      <c r="C58" s="6" t="s">
        <v>45</v>
      </c>
    </row>
    <row r="59" ht="16.5" spans="1:3">
      <c r="A59">
        <v>54</v>
      </c>
      <c r="B59" t="s">
        <v>121</v>
      </c>
      <c r="C59" s="6" t="s">
        <v>45</v>
      </c>
    </row>
    <row r="60" ht="16.5" spans="1:3">
      <c r="A60">
        <v>55</v>
      </c>
      <c r="B60" t="s">
        <v>122</v>
      </c>
      <c r="C60" s="6" t="s">
        <v>45</v>
      </c>
    </row>
    <row r="61" ht="16.5" spans="1:3">
      <c r="A61">
        <v>56</v>
      </c>
      <c r="B61" t="s">
        <v>123</v>
      </c>
      <c r="C61" s="6" t="s">
        <v>45</v>
      </c>
    </row>
  </sheetData>
  <mergeCells count="1">
    <mergeCell ref="A1:B1"/>
  </mergeCells>
  <dataValidations count="1">
    <dataValidation type="list" allowBlank="1" showInputMessage="1" showErrorMessage="1" sqref="C6:C61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G28" sqref="G28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37</v>
      </c>
      <c r="B1" s="1"/>
    </row>
    <row r="2" spans="1:3">
      <c r="A2" s="2" t="s">
        <v>38</v>
      </c>
      <c r="B2">
        <f>COUNTIF(表6_914[完成情况],"〇")</f>
        <v>12</v>
      </c>
    </row>
    <row r="3" spans="1:3">
      <c r="A3" s="2" t="s">
        <v>39</v>
      </c>
      <c r="B3">
        <f>COUNTIF(表6_914[完成情况],"✕")+COUNTIF(表6_914[完成情况],"")</f>
        <v>2</v>
      </c>
    </row>
    <row r="4" spans="1:3">
      <c r="A4" s="2" t="s">
        <v>40</v>
      </c>
      <c r="B4" s="3">
        <f>B2/MAX(表6_914[编号])</f>
        <v>0.857142857142857</v>
      </c>
    </row>
    <row r="5" spans="1:3">
      <c r="A5" t="s">
        <v>41</v>
      </c>
      <c r="B5" s="4" t="s">
        <v>42</v>
      </c>
      <c r="C5" t="s">
        <v>43</v>
      </c>
    </row>
    <row r="6" ht="16.5" customHeight="1" spans="1:3">
      <c r="A6">
        <v>1</v>
      </c>
      <c r="B6" t="s">
        <v>397</v>
      </c>
      <c r="C6" s="6" t="s">
        <v>45</v>
      </c>
    </row>
    <row r="7" ht="16.5" customHeight="1" spans="1:3">
      <c r="A7">
        <v>2</v>
      </c>
      <c r="B7" t="s">
        <v>398</v>
      </c>
      <c r="C7" s="6" t="s">
        <v>45</v>
      </c>
    </row>
    <row r="8" ht="16.5" customHeight="1" spans="1:3">
      <c r="A8">
        <v>3</v>
      </c>
      <c r="B8" t="s">
        <v>399</v>
      </c>
      <c r="C8" s="6" t="s">
        <v>45</v>
      </c>
    </row>
    <row r="9" ht="16.5" spans="1:3">
      <c r="A9">
        <v>4</v>
      </c>
      <c r="B9" t="s">
        <v>400</v>
      </c>
      <c r="C9" s="6" t="s">
        <v>45</v>
      </c>
    </row>
    <row r="10" ht="16.5" spans="1:3">
      <c r="A10">
        <v>5</v>
      </c>
      <c r="B10" t="s">
        <v>401</v>
      </c>
      <c r="C10" s="6" t="s">
        <v>45</v>
      </c>
    </row>
    <row r="11" ht="16.5" spans="1:3">
      <c r="A11">
        <v>6</v>
      </c>
      <c r="B11" t="s">
        <v>402</v>
      </c>
      <c r="C11" s="6" t="s">
        <v>45</v>
      </c>
    </row>
    <row r="12" ht="16.5" spans="1:3">
      <c r="A12">
        <v>7</v>
      </c>
      <c r="B12" t="s">
        <v>403</v>
      </c>
      <c r="C12" s="6" t="s">
        <v>45</v>
      </c>
    </row>
    <row r="13" ht="16.5" customHeight="1" spans="1:3">
      <c r="A13">
        <v>8</v>
      </c>
      <c r="B13" t="s">
        <v>404</v>
      </c>
      <c r="C13" s="6"/>
    </row>
    <row r="14" ht="16.5" customHeight="1" spans="1:3">
      <c r="A14">
        <v>9</v>
      </c>
      <c r="B14" t="s">
        <v>405</v>
      </c>
      <c r="C14" s="6"/>
    </row>
    <row r="15" ht="16.5" customHeight="1" spans="1:3">
      <c r="A15">
        <v>10</v>
      </c>
      <c r="B15" t="s">
        <v>406</v>
      </c>
      <c r="C15" s="6" t="s">
        <v>45</v>
      </c>
    </row>
    <row r="16" ht="16.5" customHeight="1" spans="1:3">
      <c r="A16">
        <v>11</v>
      </c>
      <c r="B16" t="s">
        <v>160</v>
      </c>
      <c r="C16" s="6" t="s">
        <v>45</v>
      </c>
    </row>
    <row r="17" ht="16.5" spans="1:3">
      <c r="A17">
        <v>12</v>
      </c>
      <c r="B17" t="s">
        <v>407</v>
      </c>
      <c r="C17" s="6" t="s">
        <v>45</v>
      </c>
    </row>
    <row r="18" ht="16.5" spans="1:3">
      <c r="A18">
        <v>13</v>
      </c>
      <c r="B18" t="s">
        <v>408</v>
      </c>
      <c r="C18" s="6" t="s">
        <v>45</v>
      </c>
    </row>
    <row r="19" ht="16.5" spans="1:3">
      <c r="A19">
        <v>14</v>
      </c>
      <c r="B19" t="s">
        <v>409</v>
      </c>
      <c r="C19" s="6" t="s">
        <v>45</v>
      </c>
    </row>
  </sheetData>
  <mergeCells count="1">
    <mergeCell ref="A1:B1"/>
  </mergeCells>
  <dataValidations count="1">
    <dataValidation type="list" allowBlank="1" showInputMessage="1" showErrorMessage="1" sqref="C6:C19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23" sqref="C23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37</v>
      </c>
      <c r="B1" s="1"/>
    </row>
    <row r="2" spans="1:3">
      <c r="A2" s="2" t="s">
        <v>38</v>
      </c>
      <c r="B2">
        <f>COUNTIF(表6_914181920[完成情况],"〇")</f>
        <v>4</v>
      </c>
    </row>
    <row r="3" spans="1:3">
      <c r="A3" s="2" t="s">
        <v>39</v>
      </c>
      <c r="B3">
        <f>COUNTIF(表6_914181920[完成情况],"✕")+COUNTIF(表6_914181920[完成情况],"")</f>
        <v>0</v>
      </c>
    </row>
    <row r="4" spans="1:3">
      <c r="A4" s="2" t="s">
        <v>40</v>
      </c>
      <c r="B4" s="3">
        <f>B2/MAX(表6_914181920[编号])</f>
        <v>1</v>
      </c>
    </row>
    <row r="5" spans="1:3">
      <c r="A5" t="s">
        <v>41</v>
      </c>
      <c r="B5" s="4" t="s">
        <v>42</v>
      </c>
      <c r="C5" t="s">
        <v>43</v>
      </c>
    </row>
    <row r="6" ht="16.5" customHeight="1" spans="1:3">
      <c r="A6">
        <v>1</v>
      </c>
      <c r="B6" t="s">
        <v>410</v>
      </c>
      <c r="C6" s="6" t="s">
        <v>45</v>
      </c>
    </row>
    <row r="7" ht="16.5" customHeight="1" spans="1:3">
      <c r="A7">
        <v>2</v>
      </c>
      <c r="B7" t="s">
        <v>411</v>
      </c>
      <c r="C7" s="6" t="s">
        <v>45</v>
      </c>
    </row>
    <row r="8" ht="16.5" customHeight="1" spans="1:3">
      <c r="A8">
        <v>3</v>
      </c>
      <c r="B8" t="s">
        <v>412</v>
      </c>
      <c r="C8" s="6" t="s">
        <v>45</v>
      </c>
    </row>
    <row r="9" ht="16.5" spans="1:3">
      <c r="A9">
        <v>4</v>
      </c>
      <c r="B9" t="s">
        <v>413</v>
      </c>
      <c r="C9" s="6" t="s">
        <v>45</v>
      </c>
    </row>
  </sheetData>
  <mergeCells count="1">
    <mergeCell ref="A1:B1"/>
  </mergeCells>
  <dataValidations count="1">
    <dataValidation type="list" allowBlank="1" showInputMessage="1" showErrorMessage="1" sqref="C6:C9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:B1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37</v>
      </c>
      <c r="B1" s="1"/>
    </row>
    <row r="2" spans="1:3">
      <c r="A2" s="2" t="s">
        <v>38</v>
      </c>
      <c r="B2">
        <f>COUNTIF(表6_9141819[完成情况],"〇")</f>
        <v>4</v>
      </c>
    </row>
    <row r="3" spans="1:3">
      <c r="A3" s="2" t="s">
        <v>39</v>
      </c>
      <c r="B3">
        <f>COUNTIF(表6_9141819[完成情况],"✕")+COUNTIF(表6_9141819[完成情况],"")</f>
        <v>0</v>
      </c>
    </row>
    <row r="4" spans="1:3">
      <c r="A4" s="2" t="s">
        <v>40</v>
      </c>
      <c r="B4" s="3">
        <f>B2/MAX(表6_9141819[编号])</f>
        <v>1</v>
      </c>
    </row>
    <row r="5" spans="1:3">
      <c r="A5" t="s">
        <v>41</v>
      </c>
      <c r="B5" s="4" t="s">
        <v>42</v>
      </c>
      <c r="C5" t="s">
        <v>43</v>
      </c>
    </row>
    <row r="6" ht="16.5" customHeight="1" spans="1:3">
      <c r="A6">
        <v>1</v>
      </c>
      <c r="B6" t="s">
        <v>414</v>
      </c>
      <c r="C6" s="6" t="s">
        <v>45</v>
      </c>
    </row>
    <row r="7" ht="16.5" customHeight="1" spans="1:3">
      <c r="A7">
        <v>2</v>
      </c>
      <c r="B7" t="s">
        <v>415</v>
      </c>
      <c r="C7" s="6" t="s">
        <v>45</v>
      </c>
    </row>
    <row r="8" ht="16.5" customHeight="1" spans="1:3">
      <c r="A8">
        <v>3</v>
      </c>
      <c r="B8" t="s">
        <v>416</v>
      </c>
      <c r="C8" s="6" t="s">
        <v>45</v>
      </c>
    </row>
    <row r="9" ht="16.5" spans="1:3">
      <c r="A9">
        <v>4</v>
      </c>
      <c r="B9" t="s">
        <v>417</v>
      </c>
      <c r="C9" s="6" t="s">
        <v>45</v>
      </c>
    </row>
  </sheetData>
  <mergeCells count="1">
    <mergeCell ref="A1:B1"/>
  </mergeCells>
  <dataValidations count="1">
    <dataValidation type="list" allowBlank="1" showInputMessage="1" showErrorMessage="1" sqref="C6:C9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opLeftCell="A21" workbookViewId="0">
      <selection activeCell="H51" sqref="H51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7" t="s">
        <v>37</v>
      </c>
      <c r="B1" s="8"/>
    </row>
    <row r="2" spans="1:3">
      <c r="A2" s="2" t="s">
        <v>38</v>
      </c>
      <c r="B2">
        <f>COUNTIF(表6_91418[完成情况],"〇")</f>
        <v>23</v>
      </c>
    </row>
    <row r="3" spans="1:3">
      <c r="A3" s="2" t="s">
        <v>39</v>
      </c>
      <c r="B3">
        <f>COUNTIF(表6_91418[完成情况],"✕")+COUNTIF(表6_91418[完成情况],"")</f>
        <v>7</v>
      </c>
    </row>
    <row r="4" spans="1:3">
      <c r="A4" s="2" t="s">
        <v>40</v>
      </c>
      <c r="B4" s="3">
        <f>B2/MAX(表6_91418[编号])</f>
        <v>0.766666666666667</v>
      </c>
    </row>
    <row r="5" spans="1:3">
      <c r="A5" t="s">
        <v>41</v>
      </c>
      <c r="B5" s="4" t="s">
        <v>42</v>
      </c>
      <c r="C5" t="s">
        <v>43</v>
      </c>
    </row>
    <row r="6" ht="16.5" customHeight="1" spans="1:3">
      <c r="A6">
        <v>1</v>
      </c>
      <c r="B6" t="s">
        <v>418</v>
      </c>
      <c r="C6" s="6" t="s">
        <v>45</v>
      </c>
    </row>
    <row r="7" ht="16.5" customHeight="1" spans="1:3">
      <c r="A7">
        <v>2</v>
      </c>
      <c r="B7" t="s">
        <v>419</v>
      </c>
      <c r="C7" s="6" t="s">
        <v>45</v>
      </c>
    </row>
    <row r="8" ht="16.5" customHeight="1" spans="1:3">
      <c r="A8">
        <v>3</v>
      </c>
      <c r="B8" t="s">
        <v>420</v>
      </c>
      <c r="C8" s="6" t="s">
        <v>45</v>
      </c>
    </row>
    <row r="9" ht="16.5" spans="1:3">
      <c r="A9">
        <v>4</v>
      </c>
      <c r="B9" t="s">
        <v>421</v>
      </c>
      <c r="C9" s="6" t="s">
        <v>45</v>
      </c>
    </row>
    <row r="10" ht="16.5" spans="1:3">
      <c r="A10">
        <v>5</v>
      </c>
      <c r="B10" t="s">
        <v>422</v>
      </c>
      <c r="C10" s="6" t="s">
        <v>45</v>
      </c>
    </row>
    <row r="11" ht="16.5" spans="1:3">
      <c r="A11">
        <v>6</v>
      </c>
      <c r="B11" s="9" t="s">
        <v>423</v>
      </c>
      <c r="C11" s="6"/>
    </row>
    <row r="12" ht="16.5" spans="1:3">
      <c r="A12">
        <v>7</v>
      </c>
      <c r="B12" s="9" t="s">
        <v>424</v>
      </c>
      <c r="C12" s="6"/>
    </row>
    <row r="13" ht="16.5" customHeight="1" spans="1:3">
      <c r="A13">
        <v>8</v>
      </c>
      <c r="B13" s="9" t="s">
        <v>425</v>
      </c>
      <c r="C13" s="6"/>
    </row>
    <row r="14" ht="16.5" customHeight="1" spans="1:3">
      <c r="A14">
        <v>9</v>
      </c>
      <c r="B14" s="9" t="s">
        <v>426</v>
      </c>
      <c r="C14" s="6"/>
    </row>
    <row r="15" ht="16.5" customHeight="1" spans="1:3">
      <c r="A15">
        <v>10</v>
      </c>
      <c r="B15" t="s">
        <v>427</v>
      </c>
      <c r="C15" s="6" t="s">
        <v>45</v>
      </c>
    </row>
    <row r="16" ht="16.5" customHeight="1" spans="1:3">
      <c r="A16">
        <v>11</v>
      </c>
      <c r="B16" t="s">
        <v>428</v>
      </c>
      <c r="C16" s="6"/>
    </row>
    <row r="17" ht="16.5" spans="1:3">
      <c r="A17">
        <v>12</v>
      </c>
      <c r="B17" t="s">
        <v>429</v>
      </c>
      <c r="C17" s="6" t="s">
        <v>45</v>
      </c>
    </row>
    <row r="18" ht="16.5" spans="1:3">
      <c r="A18">
        <v>13</v>
      </c>
      <c r="B18" t="s">
        <v>430</v>
      </c>
      <c r="C18" s="6" t="s">
        <v>45</v>
      </c>
    </row>
    <row r="19" ht="16.5" spans="1:3">
      <c r="A19">
        <v>14</v>
      </c>
      <c r="B19" t="s">
        <v>431</v>
      </c>
      <c r="C19" s="6" t="s">
        <v>45</v>
      </c>
    </row>
    <row r="20" ht="16.5" spans="1:3">
      <c r="A20">
        <v>15</v>
      </c>
      <c r="B20" t="s">
        <v>432</v>
      </c>
      <c r="C20" s="6" t="s">
        <v>45</v>
      </c>
    </row>
    <row r="21" ht="16.5" spans="1:3">
      <c r="A21">
        <v>16</v>
      </c>
      <c r="B21" t="s">
        <v>433</v>
      </c>
      <c r="C21" s="6" t="s">
        <v>45</v>
      </c>
    </row>
    <row r="22" ht="16.5" spans="1:3">
      <c r="A22">
        <v>17</v>
      </c>
      <c r="B22" t="s">
        <v>434</v>
      </c>
      <c r="C22" s="6" t="s">
        <v>45</v>
      </c>
    </row>
    <row r="23" ht="16.5" spans="1:3">
      <c r="A23">
        <v>18</v>
      </c>
      <c r="B23" t="s">
        <v>435</v>
      </c>
      <c r="C23" s="6"/>
    </row>
    <row r="24" ht="16.5" spans="1:3">
      <c r="A24">
        <v>19</v>
      </c>
      <c r="B24" t="s">
        <v>436</v>
      </c>
      <c r="C24" s="6" t="s">
        <v>45</v>
      </c>
    </row>
    <row r="25" ht="16.5" spans="1:3">
      <c r="A25">
        <v>20</v>
      </c>
      <c r="B25" t="s">
        <v>437</v>
      </c>
      <c r="C25" s="6"/>
    </row>
    <row r="26" ht="16.5" spans="1:3">
      <c r="A26">
        <v>21</v>
      </c>
      <c r="B26" t="s">
        <v>438</v>
      </c>
      <c r="C26" s="6" t="s">
        <v>45</v>
      </c>
    </row>
    <row r="27" ht="16.5" spans="1:3">
      <c r="A27">
        <v>22</v>
      </c>
      <c r="B27" t="s">
        <v>439</v>
      </c>
      <c r="C27" s="6" t="s">
        <v>45</v>
      </c>
    </row>
    <row r="28" ht="16.5" spans="1:3">
      <c r="A28">
        <v>23</v>
      </c>
      <c r="B28" t="s">
        <v>440</v>
      </c>
      <c r="C28" s="6" t="s">
        <v>45</v>
      </c>
    </row>
    <row r="29" ht="16.5" spans="1:3">
      <c r="A29">
        <v>24</v>
      </c>
      <c r="B29" t="s">
        <v>441</v>
      </c>
      <c r="C29" s="6" t="s">
        <v>45</v>
      </c>
    </row>
    <row r="30" ht="16.5" spans="1:3">
      <c r="A30">
        <v>25</v>
      </c>
      <c r="B30" t="s">
        <v>442</v>
      </c>
      <c r="C30" s="6" t="s">
        <v>45</v>
      </c>
    </row>
    <row r="31" ht="16.5" spans="1:3">
      <c r="A31">
        <v>26</v>
      </c>
      <c r="B31" t="s">
        <v>443</v>
      </c>
      <c r="C31" s="6" t="s">
        <v>45</v>
      </c>
    </row>
    <row r="32" ht="16.5" spans="1:3">
      <c r="A32">
        <v>27</v>
      </c>
      <c r="B32" t="s">
        <v>444</v>
      </c>
      <c r="C32" s="6" t="s">
        <v>45</v>
      </c>
    </row>
    <row r="33" ht="16.5" spans="1:3">
      <c r="A33">
        <v>28</v>
      </c>
      <c r="B33" t="s">
        <v>445</v>
      </c>
      <c r="C33" s="6" t="s">
        <v>45</v>
      </c>
    </row>
    <row r="34" ht="16.5" spans="1:3">
      <c r="A34">
        <v>29</v>
      </c>
      <c r="B34" t="s">
        <v>446</v>
      </c>
      <c r="C34" s="6" t="s">
        <v>45</v>
      </c>
    </row>
    <row r="35" ht="16.5" spans="1:3">
      <c r="A35">
        <v>30</v>
      </c>
      <c r="B35" t="s">
        <v>447</v>
      </c>
      <c r="C35" s="6" t="s">
        <v>45</v>
      </c>
    </row>
  </sheetData>
  <mergeCells count="1">
    <mergeCell ref="A1:B1"/>
  </mergeCells>
  <dataValidations count="1">
    <dataValidation type="list" allowBlank="1" showInputMessage="1" showErrorMessage="1" sqref="C17 C20 C27 C6:C16 C18:C19 C21:C22 C23:C26 C28:C29 C30:C35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K40" sqref="K40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37</v>
      </c>
      <c r="B1" s="1"/>
    </row>
    <row r="2" spans="1:3">
      <c r="A2" s="2" t="s">
        <v>38</v>
      </c>
      <c r="B2">
        <f>COUNTIF(表6_9141821[完成情况],"〇")</f>
        <v>9</v>
      </c>
    </row>
    <row r="3" spans="1:3">
      <c r="A3" s="2" t="s">
        <v>39</v>
      </c>
      <c r="B3">
        <f>COUNTIF(表6_9141821[完成情况],"✕")+COUNTIF(表6_9141821[完成情况],"")</f>
        <v>0</v>
      </c>
    </row>
    <row r="4" spans="1:3">
      <c r="A4" s="2" t="s">
        <v>40</v>
      </c>
      <c r="B4" s="3">
        <f>B2/MAX(表6_9141821[编号])</f>
        <v>1</v>
      </c>
    </row>
    <row r="5" spans="1:3">
      <c r="A5" t="s">
        <v>41</v>
      </c>
      <c r="B5" s="4" t="s">
        <v>42</v>
      </c>
      <c r="C5" t="s">
        <v>43</v>
      </c>
    </row>
    <row r="6" ht="16.5" customHeight="1" spans="1:3">
      <c r="A6">
        <v>1</v>
      </c>
      <c r="B6" t="s">
        <v>448</v>
      </c>
      <c r="C6" s="6" t="s">
        <v>45</v>
      </c>
    </row>
    <row r="7" ht="16.5" customHeight="1" spans="1:3">
      <c r="A7">
        <v>2</v>
      </c>
      <c r="B7" t="s">
        <v>449</v>
      </c>
      <c r="C7" s="6" t="s">
        <v>45</v>
      </c>
    </row>
    <row r="8" ht="16.5" customHeight="1" spans="1:3">
      <c r="A8">
        <v>3</v>
      </c>
      <c r="B8" t="s">
        <v>450</v>
      </c>
      <c r="C8" s="6" t="s">
        <v>45</v>
      </c>
    </row>
    <row r="9" ht="16.5" spans="1:3">
      <c r="A9">
        <v>4</v>
      </c>
      <c r="B9" t="s">
        <v>451</v>
      </c>
      <c r="C9" s="6" t="s">
        <v>45</v>
      </c>
    </row>
    <row r="10" ht="16.5" spans="1:3">
      <c r="A10">
        <v>5</v>
      </c>
      <c r="B10" t="s">
        <v>452</v>
      </c>
      <c r="C10" s="6" t="s">
        <v>45</v>
      </c>
    </row>
    <row r="11" ht="16.5" spans="1:3">
      <c r="A11">
        <v>6</v>
      </c>
      <c r="B11" t="s">
        <v>453</v>
      </c>
      <c r="C11" s="6" t="s">
        <v>45</v>
      </c>
    </row>
    <row r="12" ht="16.5" spans="1:3">
      <c r="A12">
        <v>7</v>
      </c>
      <c r="B12" t="s">
        <v>454</v>
      </c>
      <c r="C12" s="6" t="s">
        <v>45</v>
      </c>
    </row>
    <row r="13" ht="16.5" customHeight="1" spans="1:3">
      <c r="A13">
        <v>8</v>
      </c>
      <c r="B13" t="s">
        <v>455</v>
      </c>
      <c r="C13" s="6" t="s">
        <v>45</v>
      </c>
    </row>
    <row r="14" ht="16.5" customHeight="1" spans="1:3">
      <c r="A14">
        <v>9</v>
      </c>
      <c r="B14" t="s">
        <v>456</v>
      </c>
      <c r="C14" s="6" t="s">
        <v>45</v>
      </c>
    </row>
  </sheetData>
  <mergeCells count="1">
    <mergeCell ref="A1:B1"/>
  </mergeCells>
  <dataValidations count="1">
    <dataValidation type="list" allowBlank="1" showInputMessage="1" showErrorMessage="1" sqref="C6:C14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C22" sqref="C22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37</v>
      </c>
      <c r="B1" s="1"/>
    </row>
    <row r="2" spans="1:3">
      <c r="A2" s="2" t="s">
        <v>38</v>
      </c>
      <c r="B2">
        <f>COUNTIF(表6_914182122[完成情况],"〇")</f>
        <v>7</v>
      </c>
    </row>
    <row r="3" spans="1:3">
      <c r="A3" s="2" t="s">
        <v>39</v>
      </c>
      <c r="B3">
        <f>COUNTIF(表6_914182122[完成情况],"✕")+COUNTIF(表6_914182122[完成情况],"")</f>
        <v>2</v>
      </c>
    </row>
    <row r="4" spans="1:3">
      <c r="A4" s="2" t="s">
        <v>40</v>
      </c>
      <c r="B4" s="3">
        <f>B2/MAX(表6_914182122[编号])</f>
        <v>0.777777777777778</v>
      </c>
    </row>
    <row r="5" spans="1:3">
      <c r="A5" t="s">
        <v>41</v>
      </c>
      <c r="B5" s="4" t="s">
        <v>42</v>
      </c>
      <c r="C5" t="s">
        <v>43</v>
      </c>
    </row>
    <row r="6" ht="16.5" customHeight="1" spans="1:3">
      <c r="A6">
        <v>1</v>
      </c>
      <c r="B6" t="s">
        <v>457</v>
      </c>
      <c r="C6" s="6" t="s">
        <v>45</v>
      </c>
    </row>
    <row r="7" ht="16.5" customHeight="1" spans="1:3">
      <c r="A7">
        <v>2</v>
      </c>
      <c r="B7" t="s">
        <v>458</v>
      </c>
      <c r="C7" s="6" t="s">
        <v>45</v>
      </c>
    </row>
    <row r="8" ht="16.5" customHeight="1" spans="1:3">
      <c r="A8">
        <v>3</v>
      </c>
      <c r="B8" t="s">
        <v>459</v>
      </c>
      <c r="C8" s="6"/>
    </row>
    <row r="9" ht="16.5" spans="1:3">
      <c r="A9">
        <v>4</v>
      </c>
      <c r="B9" t="s">
        <v>460</v>
      </c>
      <c r="C9" s="6"/>
    </row>
    <row r="10" ht="16.5" spans="1:3">
      <c r="A10">
        <v>5</v>
      </c>
      <c r="B10" t="s">
        <v>461</v>
      </c>
      <c r="C10" s="6" t="s">
        <v>45</v>
      </c>
    </row>
    <row r="11" ht="16.5" spans="1:3">
      <c r="A11">
        <v>6</v>
      </c>
      <c r="B11" t="s">
        <v>462</v>
      </c>
      <c r="C11" s="6" t="s">
        <v>45</v>
      </c>
    </row>
    <row r="12" ht="16.5" spans="1:3">
      <c r="A12">
        <v>7</v>
      </c>
      <c r="B12" t="s">
        <v>463</v>
      </c>
      <c r="C12" s="6" t="s">
        <v>45</v>
      </c>
    </row>
    <row r="13" ht="16.5" customHeight="1" spans="1:3">
      <c r="A13">
        <v>8</v>
      </c>
      <c r="B13" t="s">
        <v>464</v>
      </c>
      <c r="C13" s="6" t="s">
        <v>45</v>
      </c>
    </row>
    <row r="14" ht="16.5" customHeight="1" spans="1:3">
      <c r="A14">
        <v>9</v>
      </c>
      <c r="B14" t="s">
        <v>465</v>
      </c>
      <c r="C14" s="6" t="s">
        <v>45</v>
      </c>
    </row>
  </sheetData>
  <mergeCells count="1">
    <mergeCell ref="A1:B1"/>
  </mergeCells>
  <dataValidations count="1">
    <dataValidation type="list" allowBlank="1" showInputMessage="1" showErrorMessage="1" sqref="C6:C14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J40" sqref="J40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37</v>
      </c>
      <c r="B1" s="1"/>
    </row>
    <row r="2" spans="1:3">
      <c r="A2" s="2" t="s">
        <v>38</v>
      </c>
      <c r="B2">
        <f>COUNTIF(表6_91418212223[完成情况],"〇")</f>
        <v>0</v>
      </c>
    </row>
    <row r="3" spans="1:3">
      <c r="A3" s="2" t="s">
        <v>39</v>
      </c>
      <c r="B3">
        <f>COUNTIF(表6_91418212223[完成情况],"✕")+COUNTIF(表6_91418212223[完成情况],"")</f>
        <v>17</v>
      </c>
    </row>
    <row r="4" spans="1:3">
      <c r="A4" s="2" t="s">
        <v>40</v>
      </c>
      <c r="B4" s="3">
        <f>B2/MAX(表6_91418212223[编号])</f>
        <v>0</v>
      </c>
    </row>
    <row r="5" spans="1:3">
      <c r="A5" t="s">
        <v>41</v>
      </c>
      <c r="B5" s="4" t="s">
        <v>42</v>
      </c>
      <c r="C5" t="s">
        <v>43</v>
      </c>
    </row>
    <row r="6" ht="16.5" customHeight="1" spans="1:3">
      <c r="A6">
        <v>1</v>
      </c>
      <c r="B6" t="s">
        <v>466</v>
      </c>
      <c r="C6" s="6"/>
    </row>
    <row r="7" ht="16.5" customHeight="1" spans="1:3">
      <c r="A7">
        <v>2</v>
      </c>
      <c r="B7" t="s">
        <v>467</v>
      </c>
      <c r="C7" s="6"/>
    </row>
    <row r="8" ht="16.5" customHeight="1" spans="1:3">
      <c r="A8">
        <v>3</v>
      </c>
      <c r="B8" t="s">
        <v>468</v>
      </c>
      <c r="C8" s="6"/>
    </row>
    <row r="9" ht="16.5" spans="1:3">
      <c r="A9">
        <v>4</v>
      </c>
      <c r="B9" t="s">
        <v>469</v>
      </c>
      <c r="C9" s="6"/>
    </row>
    <row r="10" ht="16.5" spans="1:3">
      <c r="A10">
        <v>5</v>
      </c>
      <c r="B10" t="s">
        <v>470</v>
      </c>
      <c r="C10" s="6"/>
    </row>
    <row r="11" ht="16.5" spans="1:3">
      <c r="A11">
        <v>6</v>
      </c>
      <c r="B11" t="s">
        <v>471</v>
      </c>
      <c r="C11" s="6"/>
    </row>
    <row r="12" ht="16.5" spans="1:3">
      <c r="A12">
        <v>7</v>
      </c>
      <c r="B12" t="s">
        <v>472</v>
      </c>
      <c r="C12" s="6"/>
    </row>
    <row r="13" ht="16.5" customHeight="1" spans="1:3">
      <c r="A13">
        <v>8</v>
      </c>
      <c r="B13" t="s">
        <v>473</v>
      </c>
      <c r="C13" s="6"/>
    </row>
    <row r="14" ht="16.5" customHeight="1" spans="1:3">
      <c r="A14">
        <v>9</v>
      </c>
      <c r="B14" t="s">
        <v>474</v>
      </c>
      <c r="C14" s="6"/>
    </row>
    <row r="15" ht="16.5" spans="1:3">
      <c r="A15">
        <v>10</v>
      </c>
      <c r="B15" t="s">
        <v>475</v>
      </c>
      <c r="C15" s="6"/>
    </row>
    <row r="16" ht="16.5" spans="1:3">
      <c r="A16">
        <v>11</v>
      </c>
      <c r="B16" t="s">
        <v>476</v>
      </c>
      <c r="C16" s="6"/>
    </row>
    <row r="17" ht="16.5" spans="1:3">
      <c r="A17">
        <v>12</v>
      </c>
      <c r="B17" t="s">
        <v>477</v>
      </c>
      <c r="C17" s="6"/>
    </row>
    <row r="18" ht="16.5" spans="1:3">
      <c r="A18">
        <v>13</v>
      </c>
      <c r="B18" t="s">
        <v>478</v>
      </c>
      <c r="C18" s="6"/>
    </row>
    <row r="19" ht="16.5" spans="1:3">
      <c r="A19">
        <v>14</v>
      </c>
      <c r="B19" t="s">
        <v>479</v>
      </c>
      <c r="C19" s="6"/>
    </row>
    <row r="20" ht="16.5" spans="1:3">
      <c r="A20">
        <v>15</v>
      </c>
      <c r="B20" t="s">
        <v>480</v>
      </c>
      <c r="C20" s="6"/>
    </row>
    <row r="21" ht="16.5" spans="1:3">
      <c r="A21">
        <v>16</v>
      </c>
      <c r="B21" t="s">
        <v>481</v>
      </c>
      <c r="C21" s="6"/>
    </row>
    <row r="22" ht="16.5" spans="1:3">
      <c r="A22">
        <v>17</v>
      </c>
      <c r="B22" t="s">
        <v>482</v>
      </c>
      <c r="C22" s="6"/>
    </row>
  </sheetData>
  <mergeCells count="1">
    <mergeCell ref="A1:B1"/>
  </mergeCells>
  <dataValidations count="1">
    <dataValidation type="list" allowBlank="1" showInputMessage="1" showErrorMessage="1" sqref="C6:C22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7" sqref="B17"/>
    </sheetView>
  </sheetViews>
  <sheetFormatPr defaultColWidth="9" defaultRowHeight="14" outlineLevelRow="6" outlineLevelCol="2"/>
  <cols>
    <col min="2" max="2" width="22.1818181818182" customWidth="1"/>
    <col min="3" max="3" width="11.9090909090909" customWidth="1"/>
  </cols>
  <sheetData>
    <row r="1" spans="1:3">
      <c r="A1" s="1" t="s">
        <v>37</v>
      </c>
      <c r="B1" s="1"/>
    </row>
    <row r="2" spans="1:3">
      <c r="A2" s="2" t="s">
        <v>38</v>
      </c>
      <c r="B2">
        <f>COUNTIF(表6_9141821222324[完成情况],"〇")</f>
        <v>0</v>
      </c>
    </row>
    <row r="3" spans="1:3">
      <c r="A3" s="2" t="s">
        <v>39</v>
      </c>
      <c r="B3">
        <f>COUNTIF(表6_9141821222324[完成情况],"✕")+COUNTIF(表6_9141821222324[完成情况],"")</f>
        <v>2</v>
      </c>
    </row>
    <row r="4" spans="1:3">
      <c r="A4" s="2" t="s">
        <v>40</v>
      </c>
      <c r="B4" s="3">
        <f>B2/MAX(表6_9141821222324[编号])</f>
        <v>0</v>
      </c>
    </row>
    <row r="5" spans="1:3">
      <c r="A5" t="s">
        <v>41</v>
      </c>
      <c r="B5" s="4" t="s">
        <v>42</v>
      </c>
      <c r="C5" t="s">
        <v>43</v>
      </c>
    </row>
    <row r="6" ht="16.5" customHeight="1" spans="1:3">
      <c r="A6">
        <v>1</v>
      </c>
      <c r="B6" s="4" t="s">
        <v>483</v>
      </c>
      <c r="C6" s="6"/>
    </row>
    <row r="7" ht="16.5" customHeight="1" spans="1:3">
      <c r="A7">
        <v>2</v>
      </c>
      <c r="B7" s="4" t="s">
        <v>484</v>
      </c>
      <c r="C7" s="6"/>
    </row>
  </sheetData>
  <mergeCells count="1">
    <mergeCell ref="A1:B1"/>
  </mergeCells>
  <dataValidations count="1">
    <dataValidation type="list" allowBlank="1" showInputMessage="1" showErrorMessage="1" sqref="C6:C7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E80" sqref="E80"/>
    </sheetView>
  </sheetViews>
  <sheetFormatPr defaultColWidth="9" defaultRowHeight="14" outlineLevelCol="1"/>
  <cols>
    <col min="1" max="1" width="17.9090909090909" customWidth="1"/>
    <col min="2" max="2" width="11.9090909090909" customWidth="1"/>
  </cols>
  <sheetData>
    <row r="1" spans="1:2">
      <c r="A1" s="1" t="s">
        <v>37</v>
      </c>
      <c r="B1" s="1"/>
    </row>
    <row r="2" spans="1:2">
      <c r="A2" t="s">
        <v>485</v>
      </c>
      <c r="B2" t="s">
        <v>486</v>
      </c>
    </row>
    <row r="3" hidden="1" spans="1:2">
      <c r="A3" s="4" t="s">
        <v>487</v>
      </c>
      <c r="B3" t="s">
        <v>45</v>
      </c>
    </row>
    <row r="4" hidden="1" spans="1:2">
      <c r="A4" t="s">
        <v>488</v>
      </c>
      <c r="B4" t="s">
        <v>45</v>
      </c>
    </row>
    <row r="5" hidden="1" spans="1:2">
      <c r="A5" t="s">
        <v>169</v>
      </c>
      <c r="B5" t="s">
        <v>45</v>
      </c>
    </row>
    <row r="6" hidden="1" spans="1:2">
      <c r="A6" t="s">
        <v>489</v>
      </c>
      <c r="B6" t="s">
        <v>45</v>
      </c>
    </row>
    <row r="7" hidden="1" spans="1:2">
      <c r="A7" t="s">
        <v>490</v>
      </c>
      <c r="B7" t="s">
        <v>45</v>
      </c>
    </row>
    <row r="8" hidden="1" spans="1:2">
      <c r="A8" t="s">
        <v>177</v>
      </c>
      <c r="B8" t="s">
        <v>45</v>
      </c>
    </row>
    <row r="9" spans="1:2">
      <c r="A9" t="s">
        <v>491</v>
      </c>
      <c r="B9" t="s">
        <v>45</v>
      </c>
    </row>
    <row r="10" hidden="1" spans="1:2">
      <c r="A10" t="s">
        <v>492</v>
      </c>
      <c r="B10" t="s">
        <v>45</v>
      </c>
    </row>
    <row r="11" ht="16.5" hidden="1" spans="1:2">
      <c r="A11" s="4" t="s">
        <v>493</v>
      </c>
      <c r="B11" t="s">
        <v>45</v>
      </c>
    </row>
    <row r="12" hidden="1" spans="1:2">
      <c r="A12" t="s">
        <v>494</v>
      </c>
      <c r="B12" t="s">
        <v>45</v>
      </c>
    </row>
    <row r="13" hidden="1" spans="1:2">
      <c r="A13" t="s">
        <v>495</v>
      </c>
      <c r="B13" t="s">
        <v>45</v>
      </c>
    </row>
    <row r="14" hidden="1" spans="1:2">
      <c r="A14" t="s">
        <v>496</v>
      </c>
      <c r="B14" t="s">
        <v>45</v>
      </c>
    </row>
    <row r="15" hidden="1" spans="1:2">
      <c r="A15" t="s">
        <v>497</v>
      </c>
      <c r="B15" t="s">
        <v>45</v>
      </c>
    </row>
    <row r="16" hidden="1" spans="1:2">
      <c r="A16" t="s">
        <v>498</v>
      </c>
      <c r="B16" t="s">
        <v>45</v>
      </c>
    </row>
    <row r="17" spans="1:2">
      <c r="A17" t="s">
        <v>499</v>
      </c>
      <c r="B17" t="s">
        <v>45</v>
      </c>
    </row>
    <row r="18" hidden="1" spans="1:2">
      <c r="A18" t="s">
        <v>500</v>
      </c>
      <c r="B18" t="s">
        <v>45</v>
      </c>
    </row>
    <row r="19" hidden="1" spans="1:2">
      <c r="A19" t="s">
        <v>501</v>
      </c>
      <c r="B19" t="s">
        <v>45</v>
      </c>
    </row>
    <row r="20" hidden="1" spans="1:2">
      <c r="A20" t="s">
        <v>502</v>
      </c>
      <c r="B20" t="s">
        <v>45</v>
      </c>
    </row>
    <row r="21" hidden="1" spans="1:2">
      <c r="A21" t="s">
        <v>503</v>
      </c>
      <c r="B21" t="s">
        <v>45</v>
      </c>
    </row>
    <row r="22" hidden="1" spans="1:2">
      <c r="A22" t="s">
        <v>504</v>
      </c>
      <c r="B22" t="s">
        <v>45</v>
      </c>
    </row>
    <row r="23" hidden="1" spans="1:2">
      <c r="A23" t="s">
        <v>505</v>
      </c>
      <c r="B23" t="s">
        <v>45</v>
      </c>
    </row>
    <row r="24" hidden="1" spans="1:2">
      <c r="A24" t="s">
        <v>506</v>
      </c>
      <c r="B24" t="s">
        <v>45</v>
      </c>
    </row>
    <row r="25" hidden="1" spans="1:2">
      <c r="A25" t="s">
        <v>507</v>
      </c>
      <c r="B25" t="s">
        <v>45</v>
      </c>
    </row>
    <row r="26" hidden="1" spans="1:2">
      <c r="A26" s="4" t="s">
        <v>508</v>
      </c>
      <c r="B26" t="s">
        <v>45</v>
      </c>
    </row>
    <row r="27" spans="1:2">
      <c r="A27" s="4" t="s">
        <v>509</v>
      </c>
    </row>
    <row r="28" hidden="1" spans="1:2">
      <c r="A28" t="s">
        <v>510</v>
      </c>
      <c r="B28" t="s">
        <v>45</v>
      </c>
    </row>
    <row r="29" hidden="1" spans="1:2">
      <c r="A29" t="s">
        <v>511</v>
      </c>
      <c r="B29" t="s">
        <v>45</v>
      </c>
    </row>
    <row r="30" hidden="1" spans="1:2">
      <c r="A30" t="s">
        <v>181</v>
      </c>
      <c r="B30" t="s">
        <v>45</v>
      </c>
    </row>
    <row r="31" hidden="1" spans="1:2">
      <c r="A31" t="s">
        <v>512</v>
      </c>
      <c r="B31" t="s">
        <v>45</v>
      </c>
    </row>
    <row r="32" spans="1:2">
      <c r="A32" s="4" t="s">
        <v>171</v>
      </c>
      <c r="B32" t="s">
        <v>45</v>
      </c>
    </row>
    <row r="33" hidden="1" spans="1:2">
      <c r="A33" t="s">
        <v>513</v>
      </c>
      <c r="B33" t="s">
        <v>45</v>
      </c>
    </row>
    <row r="34" spans="1:2">
      <c r="A34" t="s">
        <v>179</v>
      </c>
    </row>
    <row r="35" hidden="1" spans="1:2">
      <c r="A35" t="s">
        <v>514</v>
      </c>
      <c r="B35" t="s">
        <v>45</v>
      </c>
    </row>
    <row r="36" hidden="1" spans="1:2">
      <c r="A36" t="s">
        <v>515</v>
      </c>
      <c r="B36" t="s">
        <v>45</v>
      </c>
    </row>
    <row r="37" hidden="1" spans="1:2">
      <c r="A37" t="s">
        <v>516</v>
      </c>
      <c r="B37" t="s">
        <v>45</v>
      </c>
    </row>
    <row r="38" hidden="1" spans="1:2">
      <c r="A38" t="s">
        <v>517</v>
      </c>
      <c r="B38" t="s">
        <v>45</v>
      </c>
    </row>
    <row r="39" hidden="1" spans="1:2">
      <c r="A39" t="s">
        <v>518</v>
      </c>
      <c r="B39" t="s">
        <v>45</v>
      </c>
    </row>
    <row r="40" spans="1:2">
      <c r="A40" s="4" t="s">
        <v>519</v>
      </c>
      <c r="B40" t="s">
        <v>45</v>
      </c>
    </row>
    <row r="41" hidden="1" spans="1:2">
      <c r="A41" t="s">
        <v>173</v>
      </c>
      <c r="B41" t="s">
        <v>45</v>
      </c>
    </row>
    <row r="42" spans="1:2">
      <c r="A42" t="s">
        <v>520</v>
      </c>
      <c r="B42" t="s">
        <v>45</v>
      </c>
    </row>
    <row r="43" hidden="1" spans="1:2">
      <c r="A43" t="s">
        <v>521</v>
      </c>
      <c r="B43" t="s">
        <v>45</v>
      </c>
    </row>
    <row r="44" spans="1:2">
      <c r="A44" s="4" t="s">
        <v>522</v>
      </c>
      <c r="B44" t="s">
        <v>45</v>
      </c>
    </row>
    <row r="45" spans="1:2">
      <c r="A45" t="s">
        <v>523</v>
      </c>
    </row>
    <row r="46" hidden="1" spans="1:2">
      <c r="A46" t="s">
        <v>524</v>
      </c>
      <c r="B46" t="s">
        <v>45</v>
      </c>
    </row>
    <row r="47" hidden="1" spans="1:2">
      <c r="A47" t="s">
        <v>175</v>
      </c>
      <c r="B47" t="s">
        <v>45</v>
      </c>
    </row>
    <row r="48" hidden="1" spans="1:2">
      <c r="A48" t="s">
        <v>525</v>
      </c>
      <c r="B48" t="s">
        <v>45</v>
      </c>
    </row>
  </sheetData>
  <mergeCells count="1">
    <mergeCell ref="A1:B1"/>
  </mergeCells>
  <dataValidations count="1">
    <dataValidation type="list" allowBlank="1" showInputMessage="1" showErrorMessage="1" sqref="B3:B48">
      <formula1>"〇,✕"</formula1>
    </dataValidation>
  </dataValidations>
  <hyperlinks>
    <hyperlink ref="A1:B1" r:id="rId2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2"/>
  <sheetViews>
    <sheetView tabSelected="1" topLeftCell="A120" workbookViewId="0">
      <selection activeCell="C150" sqref="C150"/>
    </sheetView>
  </sheetViews>
  <sheetFormatPr defaultColWidth="9" defaultRowHeight="14" outlineLevelCol="3"/>
  <cols>
    <col min="1" max="1" width="7.72727272727273" customWidth="1"/>
    <col min="2" max="2" width="17.9090909090909" customWidth="1"/>
    <col min="3" max="3" width="20" customWidth="1"/>
    <col min="4" max="4" width="11.9090909090909" customWidth="1"/>
  </cols>
  <sheetData>
    <row r="1" spans="1:4">
      <c r="A1" s="1" t="s">
        <v>37</v>
      </c>
      <c r="B1" s="1"/>
    </row>
    <row r="2" spans="1:4">
      <c r="A2" s="2" t="s">
        <v>38</v>
      </c>
      <c r="B2">
        <f>COUNTIF(表16[完成情况],"〇")</f>
        <v>95</v>
      </c>
    </row>
    <row r="3" spans="1:4">
      <c r="A3" s="2" t="s">
        <v>39</v>
      </c>
      <c r="B3">
        <f>COUNTIF(表16[完成情况],"✕")+COUNTIF(表16[完成情况],"")</f>
        <v>62</v>
      </c>
    </row>
    <row r="4" spans="1:4">
      <c r="A4" s="2" t="s">
        <v>40</v>
      </c>
      <c r="B4" s="3">
        <f>B2/MAX(表16[编号])</f>
        <v>0.605095541401274</v>
      </c>
    </row>
    <row r="5" spans="1:4">
      <c r="A5" s="4" t="s">
        <v>41</v>
      </c>
      <c r="B5" s="4" t="s">
        <v>526</v>
      </c>
      <c r="C5" t="s">
        <v>527</v>
      </c>
      <c r="D5" s="4" t="s">
        <v>43</v>
      </c>
    </row>
    <row r="6" spans="1:4">
      <c r="A6">
        <v>1</v>
      </c>
      <c r="B6" t="s">
        <v>168</v>
      </c>
      <c r="C6" t="s">
        <v>528</v>
      </c>
      <c r="D6" t="s">
        <v>45</v>
      </c>
    </row>
    <row r="7" spans="1:4">
      <c r="A7">
        <v>2</v>
      </c>
      <c r="B7" t="s">
        <v>168</v>
      </c>
      <c r="C7" t="s">
        <v>529</v>
      </c>
      <c r="D7" t="s">
        <v>45</v>
      </c>
    </row>
    <row r="8" spans="1:4">
      <c r="A8">
        <v>3</v>
      </c>
      <c r="B8" t="s">
        <v>168</v>
      </c>
      <c r="C8" t="s">
        <v>530</v>
      </c>
      <c r="D8" t="s">
        <v>45</v>
      </c>
    </row>
    <row r="9" spans="1:4">
      <c r="A9">
        <v>4</v>
      </c>
      <c r="B9" t="s">
        <v>168</v>
      </c>
      <c r="C9" s="4" t="s">
        <v>531</v>
      </c>
      <c r="D9" t="s">
        <v>45</v>
      </c>
    </row>
    <row r="10" spans="1:4">
      <c r="A10">
        <v>5</v>
      </c>
      <c r="B10" t="s">
        <v>168</v>
      </c>
      <c r="C10" s="4" t="s">
        <v>532</v>
      </c>
      <c r="D10" t="s">
        <v>45</v>
      </c>
    </row>
    <row r="11" spans="1:4">
      <c r="A11">
        <v>6</v>
      </c>
      <c r="B11" t="s">
        <v>168</v>
      </c>
      <c r="C11" t="s">
        <v>533</v>
      </c>
      <c r="D11" t="s">
        <v>45</v>
      </c>
    </row>
    <row r="12" spans="1:4">
      <c r="A12">
        <v>7</v>
      </c>
      <c r="B12" t="s">
        <v>168</v>
      </c>
      <c r="C12" t="s">
        <v>534</v>
      </c>
      <c r="D12" t="s">
        <v>45</v>
      </c>
    </row>
    <row r="13" spans="1:4">
      <c r="A13">
        <v>8</v>
      </c>
      <c r="B13" t="s">
        <v>168</v>
      </c>
      <c r="C13" t="s">
        <v>535</v>
      </c>
      <c r="D13" t="s">
        <v>45</v>
      </c>
    </row>
    <row r="14" spans="1:4">
      <c r="A14">
        <v>9</v>
      </c>
      <c r="B14" t="s">
        <v>168</v>
      </c>
      <c r="C14" t="s">
        <v>536</v>
      </c>
      <c r="D14" t="s">
        <v>45</v>
      </c>
    </row>
    <row r="15" spans="1:4">
      <c r="A15">
        <v>10</v>
      </c>
      <c r="B15" t="s">
        <v>168</v>
      </c>
      <c r="C15" t="s">
        <v>537</v>
      </c>
      <c r="D15" t="s">
        <v>45</v>
      </c>
    </row>
    <row r="16" spans="1:4">
      <c r="A16">
        <v>11</v>
      </c>
      <c r="B16" t="s">
        <v>168</v>
      </c>
      <c r="C16" t="s">
        <v>538</v>
      </c>
      <c r="D16" t="s">
        <v>45</v>
      </c>
    </row>
    <row r="17" spans="1:4">
      <c r="A17">
        <v>12</v>
      </c>
      <c r="B17" t="s">
        <v>168</v>
      </c>
      <c r="C17" s="4" t="s">
        <v>539</v>
      </c>
      <c r="D17" t="s">
        <v>45</v>
      </c>
    </row>
    <row r="18" spans="1:4">
      <c r="A18">
        <v>13</v>
      </c>
      <c r="B18" t="s">
        <v>168</v>
      </c>
      <c r="C18" s="4" t="s">
        <v>540</v>
      </c>
      <c r="D18" t="s">
        <v>45</v>
      </c>
    </row>
    <row r="19" spans="1:4">
      <c r="A19">
        <v>14</v>
      </c>
      <c r="B19" t="s">
        <v>168</v>
      </c>
      <c r="C19" s="4" t="s">
        <v>541</v>
      </c>
      <c r="D19" t="s">
        <v>45</v>
      </c>
    </row>
    <row r="20" spans="1:4">
      <c r="A20">
        <v>15</v>
      </c>
      <c r="B20" t="s">
        <v>542</v>
      </c>
      <c r="C20" t="s">
        <v>543</v>
      </c>
      <c r="D20" t="s">
        <v>45</v>
      </c>
    </row>
    <row r="21" spans="1:4">
      <c r="A21">
        <v>16</v>
      </c>
      <c r="B21" t="s">
        <v>542</v>
      </c>
      <c r="C21" t="s">
        <v>544</v>
      </c>
      <c r="D21" t="s">
        <v>45</v>
      </c>
    </row>
    <row r="22" spans="1:4">
      <c r="A22">
        <v>17</v>
      </c>
      <c r="B22" t="s">
        <v>542</v>
      </c>
      <c r="C22" t="s">
        <v>545</v>
      </c>
    </row>
    <row r="23" spans="1:4">
      <c r="A23">
        <v>18</v>
      </c>
      <c r="B23" t="s">
        <v>542</v>
      </c>
      <c r="C23" t="s">
        <v>546</v>
      </c>
      <c r="D23" t="s">
        <v>45</v>
      </c>
    </row>
    <row r="24" spans="1:4">
      <c r="A24">
        <v>19</v>
      </c>
      <c r="B24" t="s">
        <v>542</v>
      </c>
      <c r="C24" t="s">
        <v>547</v>
      </c>
    </row>
    <row r="25" spans="1:4">
      <c r="A25">
        <v>20</v>
      </c>
      <c r="B25" t="s">
        <v>542</v>
      </c>
      <c r="C25" t="s">
        <v>548</v>
      </c>
      <c r="D25" t="s">
        <v>45</v>
      </c>
    </row>
    <row r="26" spans="1:4">
      <c r="A26">
        <v>21</v>
      </c>
      <c r="B26" t="s">
        <v>542</v>
      </c>
      <c r="C26" t="s">
        <v>549</v>
      </c>
    </row>
    <row r="27" spans="1:4">
      <c r="A27">
        <v>22</v>
      </c>
      <c r="B27" t="s">
        <v>542</v>
      </c>
      <c r="C27" t="s">
        <v>550</v>
      </c>
    </row>
    <row r="28" spans="1:4">
      <c r="A28">
        <v>23</v>
      </c>
      <c r="B28" t="s">
        <v>542</v>
      </c>
      <c r="C28" t="s">
        <v>551</v>
      </c>
    </row>
    <row r="29" spans="1:4">
      <c r="A29">
        <v>24</v>
      </c>
      <c r="B29" t="s">
        <v>542</v>
      </c>
      <c r="C29" t="s">
        <v>552</v>
      </c>
    </row>
    <row r="30" spans="1:4">
      <c r="A30">
        <v>25</v>
      </c>
      <c r="B30" t="s">
        <v>542</v>
      </c>
      <c r="C30" t="s">
        <v>553</v>
      </c>
    </row>
    <row r="31" spans="1:4">
      <c r="A31">
        <v>26</v>
      </c>
      <c r="B31" t="s">
        <v>542</v>
      </c>
      <c r="C31" t="s">
        <v>554</v>
      </c>
    </row>
    <row r="32" spans="1:4">
      <c r="A32">
        <v>27</v>
      </c>
      <c r="B32" t="s">
        <v>542</v>
      </c>
      <c r="C32" s="4" t="s">
        <v>555</v>
      </c>
      <c r="D32" t="s">
        <v>45</v>
      </c>
    </row>
    <row r="33" spans="1:4">
      <c r="A33">
        <v>28</v>
      </c>
      <c r="B33" t="s">
        <v>542</v>
      </c>
      <c r="C33" t="s">
        <v>556</v>
      </c>
    </row>
    <row r="34" spans="1:4">
      <c r="A34">
        <v>29</v>
      </c>
      <c r="B34" t="s">
        <v>557</v>
      </c>
      <c r="C34" t="s">
        <v>558</v>
      </c>
      <c r="D34" t="s">
        <v>45</v>
      </c>
    </row>
    <row r="35" spans="1:4">
      <c r="A35">
        <v>30</v>
      </c>
      <c r="B35" t="s">
        <v>557</v>
      </c>
      <c r="C35" s="4" t="s">
        <v>559</v>
      </c>
      <c r="D35" t="s">
        <v>45</v>
      </c>
    </row>
    <row r="36" spans="1:4">
      <c r="A36">
        <v>31</v>
      </c>
      <c r="B36" t="s">
        <v>557</v>
      </c>
      <c r="C36" s="4" t="s">
        <v>560</v>
      </c>
      <c r="D36" t="s">
        <v>45</v>
      </c>
    </row>
    <row r="37" spans="1:4">
      <c r="A37">
        <v>32</v>
      </c>
      <c r="B37" t="s">
        <v>557</v>
      </c>
      <c r="C37" t="s">
        <v>561</v>
      </c>
      <c r="D37" t="s">
        <v>45</v>
      </c>
    </row>
    <row r="38" spans="1:4">
      <c r="A38">
        <v>33</v>
      </c>
      <c r="B38" t="s">
        <v>557</v>
      </c>
      <c r="C38" t="s">
        <v>562</v>
      </c>
      <c r="D38" t="s">
        <v>45</v>
      </c>
    </row>
    <row r="39" spans="1:4">
      <c r="A39">
        <v>34</v>
      </c>
      <c r="B39" t="s">
        <v>557</v>
      </c>
      <c r="C39" t="s">
        <v>563</v>
      </c>
      <c r="D39" t="s">
        <v>45</v>
      </c>
    </row>
    <row r="40" spans="1:4">
      <c r="A40">
        <v>35</v>
      </c>
      <c r="B40" t="s">
        <v>557</v>
      </c>
      <c r="C40" s="4" t="s">
        <v>564</v>
      </c>
      <c r="D40" t="s">
        <v>45</v>
      </c>
    </row>
    <row r="41" spans="1:4">
      <c r="A41">
        <v>36</v>
      </c>
      <c r="B41" t="s">
        <v>557</v>
      </c>
      <c r="C41" t="s">
        <v>565</v>
      </c>
      <c r="D41" t="s">
        <v>45</v>
      </c>
    </row>
    <row r="42" spans="1:4">
      <c r="A42">
        <v>37</v>
      </c>
      <c r="B42" t="s">
        <v>557</v>
      </c>
      <c r="C42" t="s">
        <v>566</v>
      </c>
      <c r="D42" t="s">
        <v>45</v>
      </c>
    </row>
    <row r="43" spans="1:4">
      <c r="A43">
        <v>38</v>
      </c>
      <c r="B43" t="s">
        <v>557</v>
      </c>
      <c r="C43" t="s">
        <v>567</v>
      </c>
      <c r="D43" t="s">
        <v>45</v>
      </c>
    </row>
    <row r="44" spans="1:4">
      <c r="A44">
        <v>39</v>
      </c>
      <c r="B44" t="s">
        <v>557</v>
      </c>
      <c r="C44" t="s">
        <v>568</v>
      </c>
      <c r="D44" t="s">
        <v>45</v>
      </c>
    </row>
    <row r="45" spans="1:4">
      <c r="A45">
        <v>40</v>
      </c>
      <c r="B45" t="s">
        <v>557</v>
      </c>
      <c r="C45" t="s">
        <v>569</v>
      </c>
      <c r="D45" t="s">
        <v>45</v>
      </c>
    </row>
    <row r="46" spans="1:4">
      <c r="A46">
        <v>41</v>
      </c>
      <c r="B46" t="s">
        <v>557</v>
      </c>
      <c r="C46" s="4" t="s">
        <v>570</v>
      </c>
      <c r="D46" t="s">
        <v>45</v>
      </c>
    </row>
    <row r="47" spans="1:4">
      <c r="A47">
        <v>42</v>
      </c>
      <c r="B47" t="s">
        <v>557</v>
      </c>
      <c r="C47" t="s">
        <v>571</v>
      </c>
      <c r="D47" t="s">
        <v>45</v>
      </c>
    </row>
    <row r="48" spans="1:4">
      <c r="A48">
        <v>43</v>
      </c>
      <c r="B48" t="s">
        <v>204</v>
      </c>
      <c r="C48" t="s">
        <v>572</v>
      </c>
      <c r="D48" t="s">
        <v>45</v>
      </c>
    </row>
    <row r="49" spans="1:4">
      <c r="A49">
        <v>44</v>
      </c>
      <c r="B49" t="s">
        <v>204</v>
      </c>
      <c r="C49" t="s">
        <v>573</v>
      </c>
      <c r="D49" t="s">
        <v>45</v>
      </c>
    </row>
    <row r="50" spans="1:4">
      <c r="A50">
        <v>45</v>
      </c>
      <c r="B50" t="s">
        <v>26</v>
      </c>
      <c r="C50" t="s">
        <v>574</v>
      </c>
      <c r="D50" t="s">
        <v>45</v>
      </c>
    </row>
    <row r="51" spans="1:4">
      <c r="A51">
        <v>46</v>
      </c>
      <c r="B51" t="s">
        <v>26</v>
      </c>
      <c r="C51" t="s">
        <v>575</v>
      </c>
      <c r="D51" t="s">
        <v>45</v>
      </c>
    </row>
    <row r="52" spans="1:4">
      <c r="A52">
        <v>47</v>
      </c>
      <c r="B52" t="s">
        <v>26</v>
      </c>
      <c r="C52" t="s">
        <v>576</v>
      </c>
      <c r="D52" t="s">
        <v>45</v>
      </c>
    </row>
    <row r="53" spans="1:4">
      <c r="A53">
        <v>48</v>
      </c>
      <c r="B53" t="s">
        <v>577</v>
      </c>
      <c r="C53" s="4" t="s">
        <v>578</v>
      </c>
    </row>
    <row r="54" spans="1:4">
      <c r="A54">
        <v>49</v>
      </c>
      <c r="B54" t="s">
        <v>577</v>
      </c>
      <c r="C54" t="s">
        <v>579</v>
      </c>
      <c r="D54" t="s">
        <v>45</v>
      </c>
    </row>
    <row r="55" spans="1:4">
      <c r="A55">
        <v>50</v>
      </c>
      <c r="B55" t="s">
        <v>577</v>
      </c>
      <c r="C55" t="s">
        <v>580</v>
      </c>
      <c r="D55" t="s">
        <v>45</v>
      </c>
    </row>
    <row r="56" spans="1:4">
      <c r="A56">
        <v>51</v>
      </c>
      <c r="B56" t="s">
        <v>577</v>
      </c>
      <c r="C56" t="s">
        <v>581</v>
      </c>
      <c r="D56" t="s">
        <v>45</v>
      </c>
    </row>
    <row r="57" spans="1:4">
      <c r="A57">
        <v>52</v>
      </c>
      <c r="B57" t="s">
        <v>577</v>
      </c>
      <c r="C57" t="s">
        <v>582</v>
      </c>
      <c r="D57" t="s">
        <v>45</v>
      </c>
    </row>
    <row r="58" spans="1:4">
      <c r="A58">
        <v>53</v>
      </c>
      <c r="B58" t="s">
        <v>577</v>
      </c>
      <c r="C58" t="s">
        <v>583</v>
      </c>
      <c r="D58" t="s">
        <v>45</v>
      </c>
    </row>
    <row r="59" spans="1:4">
      <c r="A59">
        <v>54</v>
      </c>
      <c r="B59" t="s">
        <v>577</v>
      </c>
      <c r="C59" s="4" t="s">
        <v>584</v>
      </c>
    </row>
    <row r="60" spans="1:4">
      <c r="A60">
        <v>55</v>
      </c>
      <c r="B60" t="s">
        <v>577</v>
      </c>
      <c r="C60" t="s">
        <v>585</v>
      </c>
    </row>
    <row r="61" spans="1:4">
      <c r="A61">
        <v>56</v>
      </c>
      <c r="B61" t="s">
        <v>577</v>
      </c>
      <c r="C61" t="s">
        <v>586</v>
      </c>
      <c r="D61" t="s">
        <v>45</v>
      </c>
    </row>
    <row r="62" spans="1:4">
      <c r="A62">
        <v>57</v>
      </c>
      <c r="B62" t="s">
        <v>577</v>
      </c>
      <c r="C62" t="s">
        <v>587</v>
      </c>
      <c r="D62" t="s">
        <v>45</v>
      </c>
    </row>
    <row r="63" spans="1:4">
      <c r="A63">
        <v>58</v>
      </c>
      <c r="B63" t="s">
        <v>577</v>
      </c>
      <c r="C63" t="s">
        <v>588</v>
      </c>
      <c r="D63" t="s">
        <v>45</v>
      </c>
    </row>
    <row r="64" spans="1:4">
      <c r="A64">
        <v>59</v>
      </c>
      <c r="B64" t="s">
        <v>577</v>
      </c>
      <c r="C64" s="4" t="s">
        <v>589</v>
      </c>
    </row>
    <row r="65" spans="1:4">
      <c r="A65">
        <v>60</v>
      </c>
      <c r="B65" t="s">
        <v>590</v>
      </c>
      <c r="C65" t="s">
        <v>591</v>
      </c>
    </row>
    <row r="66" spans="1:4">
      <c r="A66">
        <v>61</v>
      </c>
      <c r="B66" t="s">
        <v>590</v>
      </c>
      <c r="C66" t="s">
        <v>592</v>
      </c>
    </row>
    <row r="67" spans="1:4">
      <c r="A67">
        <v>62</v>
      </c>
      <c r="B67" t="s">
        <v>590</v>
      </c>
      <c r="C67" t="s">
        <v>593</v>
      </c>
    </row>
    <row r="68" spans="1:4">
      <c r="A68">
        <v>63</v>
      </c>
      <c r="B68" t="s">
        <v>590</v>
      </c>
      <c r="C68" t="s">
        <v>594</v>
      </c>
    </row>
    <row r="69" spans="1:4">
      <c r="A69">
        <v>64</v>
      </c>
      <c r="B69" t="s">
        <v>590</v>
      </c>
      <c r="C69" t="s">
        <v>595</v>
      </c>
    </row>
    <row r="70" spans="1:4">
      <c r="A70">
        <v>65</v>
      </c>
      <c r="B70" t="s">
        <v>590</v>
      </c>
      <c r="C70" t="s">
        <v>596</v>
      </c>
    </row>
    <row r="71" spans="1:4">
      <c r="A71">
        <v>66</v>
      </c>
      <c r="B71" t="s">
        <v>590</v>
      </c>
      <c r="C71" t="s">
        <v>597</v>
      </c>
    </row>
    <row r="72" spans="1:4">
      <c r="A72">
        <v>67</v>
      </c>
      <c r="B72" t="s">
        <v>590</v>
      </c>
      <c r="C72" t="s">
        <v>598</v>
      </c>
    </row>
    <row r="73" spans="1:4">
      <c r="A73">
        <v>68</v>
      </c>
      <c r="B73" t="s">
        <v>599</v>
      </c>
      <c r="C73" t="s">
        <v>600</v>
      </c>
      <c r="D73" t="s">
        <v>45</v>
      </c>
    </row>
    <row r="74" spans="1:4">
      <c r="A74">
        <v>69</v>
      </c>
      <c r="B74" t="s">
        <v>599</v>
      </c>
      <c r="C74" t="s">
        <v>601</v>
      </c>
    </row>
    <row r="75" spans="1:4">
      <c r="A75">
        <v>70</v>
      </c>
      <c r="B75" t="s">
        <v>599</v>
      </c>
      <c r="C75" s="5" t="s">
        <v>602</v>
      </c>
      <c r="D75" t="s">
        <v>45</v>
      </c>
    </row>
    <row r="76" spans="1:4">
      <c r="A76">
        <v>71</v>
      </c>
      <c r="B76" t="s">
        <v>599</v>
      </c>
      <c r="C76" t="s">
        <v>603</v>
      </c>
      <c r="D76" t="s">
        <v>45</v>
      </c>
    </row>
    <row r="77" spans="1:4">
      <c r="A77">
        <v>72</v>
      </c>
      <c r="B77" t="s">
        <v>599</v>
      </c>
      <c r="C77" t="s">
        <v>604</v>
      </c>
    </row>
    <row r="78" spans="1:4">
      <c r="A78">
        <v>73</v>
      </c>
      <c r="B78" t="s">
        <v>599</v>
      </c>
      <c r="C78" t="s">
        <v>605</v>
      </c>
      <c r="D78" t="s">
        <v>45</v>
      </c>
    </row>
    <row r="79" spans="1:4">
      <c r="A79">
        <v>74</v>
      </c>
      <c r="B79" t="s">
        <v>599</v>
      </c>
      <c r="C79" t="s">
        <v>606</v>
      </c>
      <c r="D79" t="s">
        <v>45</v>
      </c>
    </row>
    <row r="80" spans="1:4">
      <c r="A80">
        <v>75</v>
      </c>
      <c r="B80" t="s">
        <v>599</v>
      </c>
      <c r="C80" t="s">
        <v>607</v>
      </c>
      <c r="D80" t="s">
        <v>45</v>
      </c>
    </row>
    <row r="81" spans="1:4">
      <c r="A81">
        <v>76</v>
      </c>
      <c r="B81" t="s">
        <v>599</v>
      </c>
      <c r="C81" t="s">
        <v>608</v>
      </c>
    </row>
    <row r="82" spans="1:4">
      <c r="A82">
        <v>77</v>
      </c>
      <c r="B82" t="s">
        <v>599</v>
      </c>
      <c r="C82" t="s">
        <v>609</v>
      </c>
      <c r="D82" t="s">
        <v>45</v>
      </c>
    </row>
    <row r="83" spans="1:4">
      <c r="A83">
        <v>78</v>
      </c>
      <c r="B83" t="s">
        <v>183</v>
      </c>
      <c r="C83" t="s">
        <v>610</v>
      </c>
    </row>
    <row r="84" spans="1:4">
      <c r="A84">
        <v>79</v>
      </c>
      <c r="B84" t="s">
        <v>611</v>
      </c>
      <c r="C84" t="s">
        <v>612</v>
      </c>
      <c r="D84" t="s">
        <v>45</v>
      </c>
    </row>
    <row r="85" spans="1:4">
      <c r="A85">
        <v>80</v>
      </c>
      <c r="B85" t="s">
        <v>611</v>
      </c>
      <c r="C85" t="s">
        <v>613</v>
      </c>
    </row>
    <row r="86" spans="1:4">
      <c r="A86">
        <v>81</v>
      </c>
      <c r="B86" t="s">
        <v>611</v>
      </c>
      <c r="C86" t="s">
        <v>614</v>
      </c>
      <c r="D86" t="s">
        <v>45</v>
      </c>
    </row>
    <row r="87" spans="1:4">
      <c r="A87">
        <v>82</v>
      </c>
      <c r="B87" t="s">
        <v>611</v>
      </c>
      <c r="C87" s="5" t="s">
        <v>615</v>
      </c>
      <c r="D87" t="s">
        <v>45</v>
      </c>
    </row>
    <row r="88" spans="1:4">
      <c r="A88">
        <v>83</v>
      </c>
      <c r="B88" t="s">
        <v>611</v>
      </c>
      <c r="C88" t="s">
        <v>616</v>
      </c>
      <c r="D88" t="s">
        <v>45</v>
      </c>
    </row>
    <row r="89" spans="1:4">
      <c r="A89">
        <v>84</v>
      </c>
      <c r="B89" t="s">
        <v>611</v>
      </c>
      <c r="C89" t="s">
        <v>617</v>
      </c>
      <c r="D89" t="s">
        <v>45</v>
      </c>
    </row>
    <row r="90" spans="1:4">
      <c r="A90">
        <v>85</v>
      </c>
      <c r="B90" t="s">
        <v>611</v>
      </c>
      <c r="C90" t="s">
        <v>618</v>
      </c>
      <c r="D90" t="s">
        <v>45</v>
      </c>
    </row>
    <row r="91" spans="1:4">
      <c r="A91">
        <v>86</v>
      </c>
      <c r="B91" t="s">
        <v>611</v>
      </c>
      <c r="C91" t="s">
        <v>619</v>
      </c>
      <c r="D91" t="s">
        <v>45</v>
      </c>
    </row>
    <row r="92" spans="1:4">
      <c r="A92">
        <v>87</v>
      </c>
      <c r="B92" t="s">
        <v>611</v>
      </c>
      <c r="C92" t="s">
        <v>620</v>
      </c>
      <c r="D92" t="s">
        <v>45</v>
      </c>
    </row>
    <row r="93" spans="1:4">
      <c r="A93">
        <v>88</v>
      </c>
      <c r="B93" t="s">
        <v>611</v>
      </c>
      <c r="C93" t="s">
        <v>621</v>
      </c>
    </row>
    <row r="94" spans="1:4">
      <c r="A94">
        <v>89</v>
      </c>
      <c r="B94" t="s">
        <v>611</v>
      </c>
      <c r="C94" t="s">
        <v>622</v>
      </c>
    </row>
    <row r="95" spans="1:4">
      <c r="A95">
        <v>90</v>
      </c>
      <c r="B95" t="s">
        <v>611</v>
      </c>
      <c r="C95" t="s">
        <v>623</v>
      </c>
    </row>
    <row r="96" spans="1:4">
      <c r="A96">
        <v>91</v>
      </c>
      <c r="B96" t="s">
        <v>611</v>
      </c>
      <c r="C96" s="4" t="s">
        <v>624</v>
      </c>
      <c r="D96" t="s">
        <v>45</v>
      </c>
    </row>
    <row r="97" spans="1:4">
      <c r="A97">
        <v>92</v>
      </c>
      <c r="B97" t="s">
        <v>611</v>
      </c>
      <c r="C97" s="4" t="s">
        <v>625</v>
      </c>
      <c r="D97" t="s">
        <v>45</v>
      </c>
    </row>
    <row r="98" spans="1:4">
      <c r="A98">
        <v>93</v>
      </c>
      <c r="B98" t="s">
        <v>626</v>
      </c>
      <c r="C98" t="s">
        <v>627</v>
      </c>
    </row>
    <row r="99" spans="1:4">
      <c r="A99">
        <v>94</v>
      </c>
      <c r="B99" t="s">
        <v>626</v>
      </c>
      <c r="C99" t="s">
        <v>628</v>
      </c>
    </row>
    <row r="100" spans="1:4">
      <c r="A100">
        <v>95</v>
      </c>
      <c r="B100" t="s">
        <v>629</v>
      </c>
      <c r="C100" t="s">
        <v>630</v>
      </c>
    </row>
    <row r="101" spans="1:4">
      <c r="A101">
        <v>96</v>
      </c>
      <c r="B101" t="s">
        <v>629</v>
      </c>
      <c r="C101" t="s">
        <v>631</v>
      </c>
    </row>
    <row r="102" spans="1:4">
      <c r="A102">
        <v>97</v>
      </c>
      <c r="B102" t="s">
        <v>629</v>
      </c>
      <c r="C102" t="s">
        <v>632</v>
      </c>
    </row>
    <row r="103" spans="1:4">
      <c r="A103">
        <v>98</v>
      </c>
      <c r="B103" t="s">
        <v>629</v>
      </c>
      <c r="C103" t="s">
        <v>633</v>
      </c>
    </row>
    <row r="104" spans="1:4">
      <c r="A104">
        <v>99</v>
      </c>
      <c r="B104" t="s">
        <v>629</v>
      </c>
      <c r="C104" t="s">
        <v>634</v>
      </c>
    </row>
    <row r="105" spans="1:4">
      <c r="A105">
        <v>100</v>
      </c>
      <c r="B105" t="s">
        <v>629</v>
      </c>
      <c r="C105" t="s">
        <v>635</v>
      </c>
    </row>
    <row r="106" spans="1:4">
      <c r="A106">
        <v>101</v>
      </c>
      <c r="B106" t="s">
        <v>629</v>
      </c>
      <c r="C106" t="s">
        <v>636</v>
      </c>
    </row>
    <row r="107" spans="1:4">
      <c r="A107">
        <v>102</v>
      </c>
      <c r="B107" t="s">
        <v>629</v>
      </c>
      <c r="C107" t="s">
        <v>637</v>
      </c>
    </row>
    <row r="108" spans="1:4">
      <c r="A108">
        <v>103</v>
      </c>
      <c r="B108" t="s">
        <v>638</v>
      </c>
      <c r="C108" t="s">
        <v>639</v>
      </c>
      <c r="D108" t="s">
        <v>45</v>
      </c>
    </row>
    <row r="109" spans="1:4">
      <c r="A109">
        <v>104</v>
      </c>
      <c r="B109" t="s">
        <v>638</v>
      </c>
      <c r="C109" t="s">
        <v>640</v>
      </c>
    </row>
    <row r="110" spans="1:4">
      <c r="A110">
        <v>105</v>
      </c>
      <c r="B110" t="s">
        <v>638</v>
      </c>
      <c r="C110" t="s">
        <v>641</v>
      </c>
      <c r="D110" t="s">
        <v>45</v>
      </c>
    </row>
    <row r="111" spans="1:4">
      <c r="A111">
        <v>106</v>
      </c>
      <c r="B111" t="s">
        <v>638</v>
      </c>
      <c r="C111" t="s">
        <v>642</v>
      </c>
      <c r="D111" t="s">
        <v>45</v>
      </c>
    </row>
    <row r="112" spans="1:4">
      <c r="A112">
        <v>107</v>
      </c>
      <c r="B112" t="s">
        <v>638</v>
      </c>
      <c r="C112" t="s">
        <v>643</v>
      </c>
    </row>
    <row r="113" spans="1:4">
      <c r="A113">
        <v>108</v>
      </c>
      <c r="B113" t="s">
        <v>638</v>
      </c>
      <c r="C113" t="s">
        <v>644</v>
      </c>
      <c r="D113" t="s">
        <v>45</v>
      </c>
    </row>
    <row r="114" spans="1:4">
      <c r="A114">
        <v>109</v>
      </c>
      <c r="B114" t="s">
        <v>638</v>
      </c>
      <c r="C114" s="4" t="s">
        <v>645</v>
      </c>
    </row>
    <row r="115" spans="1:4">
      <c r="A115">
        <v>110</v>
      </c>
      <c r="B115" t="s">
        <v>638</v>
      </c>
      <c r="C115" s="4" t="s">
        <v>646</v>
      </c>
      <c r="D115" t="s">
        <v>45</v>
      </c>
    </row>
    <row r="116" spans="1:4">
      <c r="A116">
        <v>111</v>
      </c>
      <c r="B116" t="s">
        <v>638</v>
      </c>
      <c r="C116" t="s">
        <v>647</v>
      </c>
    </row>
    <row r="117" spans="1:4">
      <c r="A117">
        <v>112</v>
      </c>
      <c r="B117" t="s">
        <v>638</v>
      </c>
      <c r="C117" t="s">
        <v>648</v>
      </c>
      <c r="D117" t="s">
        <v>45</v>
      </c>
    </row>
    <row r="118" spans="1:4">
      <c r="A118">
        <v>113</v>
      </c>
      <c r="B118" t="s">
        <v>638</v>
      </c>
      <c r="C118" t="s">
        <v>649</v>
      </c>
    </row>
    <row r="119" spans="1:4">
      <c r="A119">
        <v>114</v>
      </c>
      <c r="B119" t="s">
        <v>638</v>
      </c>
      <c r="C119" s="4" t="s">
        <v>650</v>
      </c>
      <c r="D119" t="s">
        <v>45</v>
      </c>
    </row>
    <row r="120" spans="1:4">
      <c r="A120">
        <v>115</v>
      </c>
      <c r="B120" t="s">
        <v>638</v>
      </c>
      <c r="C120" t="s">
        <v>651</v>
      </c>
      <c r="D120" t="s">
        <v>45</v>
      </c>
    </row>
    <row r="121" spans="1:4">
      <c r="A121">
        <v>116</v>
      </c>
      <c r="B121" t="s">
        <v>638</v>
      </c>
      <c r="C121" t="s">
        <v>652</v>
      </c>
    </row>
    <row r="122" spans="1:4">
      <c r="A122">
        <v>117</v>
      </c>
      <c r="B122" t="s">
        <v>28</v>
      </c>
      <c r="C122" t="s">
        <v>653</v>
      </c>
      <c r="D122" t="s">
        <v>45</v>
      </c>
    </row>
    <row r="123" spans="1:4">
      <c r="A123">
        <v>118</v>
      </c>
      <c r="B123" t="s">
        <v>28</v>
      </c>
      <c r="C123" t="s">
        <v>654</v>
      </c>
      <c r="D123" t="s">
        <v>45</v>
      </c>
    </row>
    <row r="124" spans="1:4">
      <c r="A124">
        <v>119</v>
      </c>
      <c r="B124" t="s">
        <v>28</v>
      </c>
      <c r="C124" t="s">
        <v>655</v>
      </c>
      <c r="D124" t="s">
        <v>45</v>
      </c>
    </row>
    <row r="125" spans="1:4">
      <c r="A125">
        <v>120</v>
      </c>
      <c r="B125" t="s">
        <v>28</v>
      </c>
      <c r="C125" t="s">
        <v>656</v>
      </c>
      <c r="D125" t="s">
        <v>45</v>
      </c>
    </row>
    <row r="126" spans="1:4">
      <c r="A126">
        <v>121</v>
      </c>
      <c r="B126" t="s">
        <v>28</v>
      </c>
      <c r="C126" t="s">
        <v>657</v>
      </c>
      <c r="D126" t="s">
        <v>45</v>
      </c>
    </row>
    <row r="127" spans="1:4">
      <c r="A127">
        <v>122</v>
      </c>
      <c r="B127" t="s">
        <v>28</v>
      </c>
      <c r="C127" t="s">
        <v>658</v>
      </c>
      <c r="D127" t="s">
        <v>45</v>
      </c>
    </row>
    <row r="128" spans="1:4">
      <c r="A128">
        <v>123</v>
      </c>
      <c r="B128" t="s">
        <v>28</v>
      </c>
      <c r="C128" t="s">
        <v>659</v>
      </c>
      <c r="D128" t="s">
        <v>45</v>
      </c>
    </row>
    <row r="129" spans="1:4">
      <c r="A129">
        <v>124</v>
      </c>
      <c r="B129" t="s">
        <v>28</v>
      </c>
      <c r="C129" t="s">
        <v>660</v>
      </c>
      <c r="D129" t="s">
        <v>45</v>
      </c>
    </row>
    <row r="130" spans="1:4">
      <c r="A130">
        <v>125</v>
      </c>
      <c r="B130" t="s">
        <v>30</v>
      </c>
      <c r="C130" t="s">
        <v>661</v>
      </c>
      <c r="D130" t="s">
        <v>45</v>
      </c>
    </row>
    <row r="131" spans="1:4">
      <c r="A131">
        <v>126</v>
      </c>
      <c r="B131" t="s">
        <v>30</v>
      </c>
      <c r="C131" t="s">
        <v>662</v>
      </c>
      <c r="D131" t="s">
        <v>45</v>
      </c>
    </row>
    <row r="132" spans="1:4">
      <c r="A132">
        <v>127</v>
      </c>
      <c r="B132" t="s">
        <v>30</v>
      </c>
      <c r="C132" t="s">
        <v>663</v>
      </c>
      <c r="D132" t="s">
        <v>45</v>
      </c>
    </row>
    <row r="133" spans="1:4">
      <c r="A133">
        <v>128</v>
      </c>
      <c r="B133" t="s">
        <v>214</v>
      </c>
      <c r="C133" t="s">
        <v>664</v>
      </c>
    </row>
    <row r="134" spans="1:4">
      <c r="A134">
        <v>129</v>
      </c>
      <c r="B134" t="s">
        <v>214</v>
      </c>
      <c r="C134" t="s">
        <v>665</v>
      </c>
      <c r="D134" t="s">
        <v>45</v>
      </c>
    </row>
    <row r="135" spans="1:4">
      <c r="A135">
        <v>130</v>
      </c>
      <c r="B135" t="s">
        <v>214</v>
      </c>
      <c r="C135" t="s">
        <v>666</v>
      </c>
    </row>
    <row r="136" spans="1:4">
      <c r="A136">
        <v>131</v>
      </c>
      <c r="B136" t="s">
        <v>214</v>
      </c>
      <c r="C136" t="s">
        <v>667</v>
      </c>
    </row>
    <row r="137" spans="1:4">
      <c r="A137">
        <v>132</v>
      </c>
      <c r="B137" t="s">
        <v>214</v>
      </c>
      <c r="C137" t="s">
        <v>668</v>
      </c>
    </row>
    <row r="138" spans="1:4">
      <c r="A138">
        <v>133</v>
      </c>
      <c r="B138" t="s">
        <v>214</v>
      </c>
      <c r="C138" t="s">
        <v>669</v>
      </c>
    </row>
    <row r="139" spans="1:4">
      <c r="A139">
        <v>134</v>
      </c>
      <c r="B139" t="s">
        <v>214</v>
      </c>
      <c r="C139" s="4" t="s">
        <v>670</v>
      </c>
      <c r="D139" t="s">
        <v>45</v>
      </c>
    </row>
    <row r="140" spans="1:4">
      <c r="A140">
        <v>135</v>
      </c>
      <c r="B140" t="s">
        <v>214</v>
      </c>
      <c r="C140" t="s">
        <v>671</v>
      </c>
    </row>
    <row r="141" spans="1:4">
      <c r="A141">
        <v>136</v>
      </c>
      <c r="B141" t="s">
        <v>31</v>
      </c>
      <c r="C141" s="4" t="s">
        <v>672</v>
      </c>
      <c r="D141" t="s">
        <v>45</v>
      </c>
    </row>
    <row r="142" spans="1:4">
      <c r="A142">
        <v>137</v>
      </c>
      <c r="B142" t="s">
        <v>31</v>
      </c>
      <c r="C142" s="4" t="s">
        <v>673</v>
      </c>
      <c r="D142" t="s">
        <v>45</v>
      </c>
    </row>
    <row r="143" spans="1:4">
      <c r="A143">
        <v>138</v>
      </c>
      <c r="B143" t="s">
        <v>31</v>
      </c>
      <c r="C143" t="s">
        <v>674</v>
      </c>
      <c r="D143" t="s">
        <v>45</v>
      </c>
    </row>
    <row r="144" spans="1:4">
      <c r="A144">
        <v>139</v>
      </c>
      <c r="B144" t="s">
        <v>31</v>
      </c>
      <c r="C144" s="4" t="s">
        <v>675</v>
      </c>
      <c r="D144" t="s">
        <v>45</v>
      </c>
    </row>
    <row r="145" spans="1:4">
      <c r="A145">
        <v>140</v>
      </c>
      <c r="B145" t="s">
        <v>31</v>
      </c>
      <c r="C145" t="s">
        <v>676</v>
      </c>
      <c r="D145" t="s">
        <v>45</v>
      </c>
    </row>
    <row r="146" spans="1:4">
      <c r="A146">
        <v>141</v>
      </c>
      <c r="B146" t="s">
        <v>33</v>
      </c>
      <c r="C146" t="s">
        <v>677</v>
      </c>
    </row>
    <row r="147" spans="1:4">
      <c r="A147">
        <v>142</v>
      </c>
      <c r="B147" t="s">
        <v>33</v>
      </c>
      <c r="C147" t="s">
        <v>678</v>
      </c>
      <c r="D147" t="s">
        <v>45</v>
      </c>
    </row>
    <row r="148" spans="1:4">
      <c r="A148">
        <v>143</v>
      </c>
      <c r="B148" t="s">
        <v>33</v>
      </c>
      <c r="C148" t="s">
        <v>679</v>
      </c>
      <c r="D148" t="s">
        <v>45</v>
      </c>
    </row>
    <row r="149" spans="1:4">
      <c r="A149">
        <v>144</v>
      </c>
      <c r="B149" t="s">
        <v>33</v>
      </c>
      <c r="C149" t="s">
        <v>680</v>
      </c>
    </row>
    <row r="150" spans="1:4">
      <c r="A150">
        <v>145</v>
      </c>
      <c r="B150" t="s">
        <v>33</v>
      </c>
      <c r="C150" t="s">
        <v>681</v>
      </c>
    </row>
    <row r="151" spans="1:4">
      <c r="A151">
        <v>146</v>
      </c>
      <c r="B151" t="s">
        <v>33</v>
      </c>
      <c r="C151" t="s">
        <v>682</v>
      </c>
      <c r="D151" t="s">
        <v>45</v>
      </c>
    </row>
    <row r="152" spans="1:4">
      <c r="A152">
        <v>147</v>
      </c>
      <c r="B152" t="s">
        <v>33</v>
      </c>
      <c r="C152" t="s">
        <v>683</v>
      </c>
      <c r="D152" t="s">
        <v>45</v>
      </c>
    </row>
    <row r="153" spans="1:4">
      <c r="A153">
        <v>148</v>
      </c>
      <c r="B153" t="s">
        <v>33</v>
      </c>
      <c r="C153" t="s">
        <v>684</v>
      </c>
      <c r="D153" t="s">
        <v>45</v>
      </c>
    </row>
    <row r="154" spans="1:4">
      <c r="A154">
        <v>149</v>
      </c>
      <c r="B154" t="s">
        <v>33</v>
      </c>
      <c r="C154" t="s">
        <v>685</v>
      </c>
      <c r="D154" t="s">
        <v>45</v>
      </c>
    </row>
    <row r="155" spans="1:4">
      <c r="A155">
        <v>150</v>
      </c>
      <c r="B155" t="s">
        <v>35</v>
      </c>
      <c r="C155" t="s">
        <v>686</v>
      </c>
    </row>
    <row r="156" spans="1:4">
      <c r="A156">
        <v>151</v>
      </c>
      <c r="B156" t="s">
        <v>35</v>
      </c>
      <c r="C156" t="s">
        <v>687</v>
      </c>
    </row>
    <row r="157" spans="1:4">
      <c r="A157">
        <v>152</v>
      </c>
      <c r="B157" t="s">
        <v>35</v>
      </c>
      <c r="C157" t="s">
        <v>688</v>
      </c>
    </row>
    <row r="158" spans="1:4">
      <c r="A158">
        <v>153</v>
      </c>
      <c r="B158" t="s">
        <v>35</v>
      </c>
      <c r="C158" t="s">
        <v>689</v>
      </c>
    </row>
    <row r="159" spans="1:4">
      <c r="A159">
        <v>154</v>
      </c>
      <c r="B159" t="s">
        <v>35</v>
      </c>
      <c r="C159" t="s">
        <v>690</v>
      </c>
    </row>
    <row r="160" spans="1:4">
      <c r="A160">
        <v>155</v>
      </c>
      <c r="B160" t="s">
        <v>35</v>
      </c>
      <c r="C160" t="s">
        <v>691</v>
      </c>
    </row>
    <row r="161" spans="1:3">
      <c r="A161">
        <v>156</v>
      </c>
      <c r="B161" t="s">
        <v>35</v>
      </c>
      <c r="C161" t="s">
        <v>692</v>
      </c>
    </row>
    <row r="162" spans="1:3">
      <c r="A162">
        <v>157</v>
      </c>
      <c r="B162" t="s">
        <v>35</v>
      </c>
      <c r="C162" t="s">
        <v>693</v>
      </c>
    </row>
  </sheetData>
  <mergeCells count="1">
    <mergeCell ref="A1:B1"/>
  </mergeCells>
  <dataValidations count="1">
    <dataValidation type="list" allowBlank="1" showInputMessage="1" showErrorMessage="1" sqref="D153 D154 D6:D143 D144:D145 D146:D150 D151:D152 D155:D162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Q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93Sq2pgEAAO8DAAATAAAARm9ybXVsYXMvU2VjdGlvbjEubY2SbUvCQADH3wt+h2O9WXBISxNKetUDBeELDXozCK2DhnMLN0OIIFwP68Ey0KTe1KAnKKzeiG31abbb9Ft0ZZY4XR6M42D3+//ufyehFZkTBRBvzUzE7/P7pLVEBq2CIcrMv5vKiamcm8qTmb8xlYPpmWXLMPCh5lQ1p7gHQI6XchSYBDyS/T5Ahq0XyXImt4L4wJKYSSVFMUXPcjwKTImCjARZoqm5CdZ5KjWqLyz58EfZ0nWndMWOMHa9bqundslwyrcsfs9j/c56O8Kqwv6rEgh8qwxDIGR5HgI5k0XDsOWE1evmxY1zuYP1clN5aGjHRHExkSRSMZQWN9BCQpKjNFGH4+49aqXr7ymRz6YFiXZj4SYVTaQRteWmtJOZLlgr+g+lViDj3r1bs4xz3GESRzy5sv4mDFGZl1H6T6W5X8BnH7hY+OqhgxRDAlF2k9qRcPOHBAFlv+7b24ZV327cq9SW+5RNreY8Pnf2G09x63RXdK8DtusZ9a7nN8CLEfRm/D6CUS9IaEBI0AsyNiAkBJkel97uJDwgZYyo+H2c0O/RhyOf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DyAgAAW0NvbnRlbnRfVHlwZXNdLnhtbFBLAQIUAAoAAAAAAIdO4kAAAAAAAAAAAAAAAAAHAAAAAAAAAAAAEAAAAAAAAABDb25maWcvUEsBAhQAFAAAAAgAh07iQBI4/pifAAAA8wAAABIAAAAAAAAAAQAgAAAAJQAAAENvbmZpZy9QYWNrYWdlLnhtbFBLAQIUAAoAAAAAAIdO4kAAAAAAAAAAAAAAAAAJAAAAAAAAAAAAEAAAAPQAAABGb3JtdWxhcy9QSwECFAAUAAAACACHTuJAvd0qtqYBAADvAwAAEwAAAAAAAAABACAAAAAbAQAARm9ybXVsYXMvU2VjdGlvbjEubVBLBQYAAAAABQAFAC4BAADAAw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kwQAAAAAAABxBA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yVFMyU4MiVCQyVFMyU4MyU4RSVFMyU4MyU5NiVFMyU4MyVBQyVFMyU4MiVBNCVFMyU4MyU4OURFXyVFNCVCQiVCQiVFNSU4QSVBMSVFNyVBRSVBMSVFNyU5MCU4NiUyMCUyMHhsc3g8L0l0ZW1QYXRoPjwvSXRlbUxvY2F0aW9uPjxTdGFibGVFbnRyaWVzPjxFbnRyeSBUeXBlPSJJc1ByaXZhdGUiIFZhbHVlPSJsMCIgLz48RW50cnkgVHlwZT0iRmlsbEVuYWJsZWQiIFZhbHVlPSJsMSIgLz48RW50cnkgVHlwZT0iRmlsbE9iamVjdFR5cGUiIFZhbHVlPSJzVGFibGUiIC8+PEVudHJ5IFR5cGU9IlF1ZXJ5SUQiIFZhbHVlPSJzMzI0MDk1OTItMTBmMi00ZDk4LWI0OWQtNDlmNmQzYmIxMDAwIiAvPjxFbnRyeSBUeXBlPSJSZXN1bHRUeXBlIiBWYWx1ZT0ic1RhYmxlIiAvPjxFbnRyeSBUeXBlPSJGaWxsVGFyZ2V0IiBWYWx1ZT0ic+ihqF/jgrzjg47jg5bjg6zjgqTjg4lERV/ku7vliqHnrqHnkIZfX3hsc3giIC8+PEVudHJ5IFR5cGU9IkZpbGxDb3VudCIgVmFsdWU9ImwxNyIgLz48RW50cnkgVHlwZT0iRmlsbEVycm9yQ291bnQiIFZhbHVlPSJsMCIgLz48RW50cnkgVHlwZT0iRmlsbExhc3RVcGRhdGVkIiBWYWx1ZT0iZDIwMjYtMDUtMDZUMDU6MjE6MDMuNzY3MDAwMFoiIC8+PEVudHJ5IFR5cGU9IkZpbGxDb2x1bW5OYW1lcyIgVmFsdWU9J3NbJnF1b3Q75rGH5oC75LiA6KeIJnF1b3Q7XScgLz48L1N0YWJsZUVudHJpZXM+PC9JdGVtPjwvSXRlbXM+PC9Mb2NhbFBhY2thZ2VNZXRhZGF0YUZpbGU+FgAAAFBLBQYAAAAAAAAAAAAAAAAAAAAAAAAmAQAAAQAAANCMnd8BFdERjHoAwE/Cl+sBAAAA2cHvIhDB8U+DzvEXf4lk6wAAAAACAAAAAAAQZgAAAAEAACAAAAAJx4pSKYfP4LlgiKg8GAfh7PT0i6Uwgm6g0DWbiBiUOgAAAAAOgAAAAAIAACAAAACDobuGHxwbpdthcpTiCmXccURv/eF9X4RGe448ohZJ5lAAAAAa1Hy5GUaJ7lqdJyyRzgJScG+4eX+gSTB7rQkVXA3/R3VN00C8EGeEhVUAxhS5zo2FBy4oqe8imMI2F3DHdeJFbcCljN3+MpEINgen+rBHT0AAAABwvZF/fiy9BG8ik39jV0j0EqPrTIoS6FjSHWun1q1MkcbyQ5s2WwK7QzjOaIWy3SvYEdgL28CdpzFI9fkptFfo</DataMashup>
</file>

<file path=customXml/itemProps1.xml><?xml version="1.0" encoding="utf-8"?>
<ds:datastoreItem xmlns:ds="http://schemas.openxmlformats.org/officeDocument/2006/customXml" ds:itemID="{5CF01E52-F975-4CD4-9BA1-58FE6D4AF0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ゼノブレイドDE_任务管理</vt:lpstr>
      <vt:lpstr>コロニー9-任務</vt:lpstr>
      <vt:lpstr>テフラ洞窟-任務</vt:lpstr>
      <vt:lpstr>巨神脚-任務</vt:lpstr>
      <vt:lpstr>コロニー6-任務</vt:lpstr>
      <vt:lpstr>燐光の地ザトール-任務</vt:lpstr>
      <vt:lpstr>マクナ原生林-任務</vt:lpstr>
      <vt:lpstr>サイハテ村-任務</vt:lpstr>
      <vt:lpstr>エルト海-任務</vt:lpstr>
      <vt:lpstr>皇都アカモート-任務</vt:lpstr>
      <vt:lpstr>ヴァラク雪山-任務</vt:lpstr>
      <vt:lpstr>大剣の渓谷-任務</vt:lpstr>
      <vt:lpstr>ガラハド要塞-任務</vt:lpstr>
      <vt:lpstr>落ちた腕-任務</vt:lpstr>
      <vt:lpstr>機神界フィールド-任務</vt:lpstr>
      <vt:lpstr>中央工廠-任務</vt:lpstr>
      <vt:lpstr>帝都アグニラータ-任務</vt:lpstr>
      <vt:lpstr>監獄島(2回目)-任務</vt:lpstr>
      <vt:lpstr>コロニー9-キズナ</vt:lpstr>
      <vt:lpstr>ユニックモンスター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唐湘陵</dc:creator>
  <cp:lastModifiedBy>风雨彩虹</cp:lastModifiedBy>
  <dcterms:created xsi:type="dcterms:W3CDTF">2023-05-12T11:15:00Z</dcterms:created>
  <dcterms:modified xsi:type="dcterms:W3CDTF">2026-05-09T14:51:31Z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20EF7CFBFCFF4E6CBE03668534B2ABA7_12</vt:lpwstr>
  </property>
  <property fmtid="{D5CDD505-2E9C-101B-9397-08002B2CF9AE}" pid="4" name="CalculationRule">
    <vt:i4>0</vt:i4>
  </property>
</Properties>
</file>